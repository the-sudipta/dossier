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0a76c12f4c00740/Desktop/AIUB/Semesters/SEMESTER_NAME YY-YY/COURSE NAME [ SECTION ]/"/>
    </mc:Choice>
  </mc:AlternateContent>
  <xr:revisionPtr revIDLastSave="114" documentId="13_ncr:1_{C5B754B7-685B-4C25-AB72-6F4D2A0EDC75}" xr6:coauthVersionLast="47" xr6:coauthVersionMax="47" xr10:uidLastSave="{708309EE-5F40-4F4B-97C8-F8506E683E24}"/>
  <bookViews>
    <workbookView xWindow="-108" yWindow="-108" windowWidth="23256" windowHeight="13896" activeTab="4" xr2:uid="{00000000-000D-0000-FFFF-FFFF00000000}"/>
  </bookViews>
  <sheets>
    <sheet name="Mid Term" sheetId="1" r:id="rId1"/>
    <sheet name="Final Term" sheetId="2" r:id="rId2"/>
    <sheet name="Mid Term LabTask" sheetId="3" r:id="rId3"/>
    <sheet name="Final Term LabTask" sheetId="4" r:id="rId4"/>
    <sheet name="VIVA" sheetId="5" r:id="rId5"/>
    <sheet name="Signing Sheet" sheetId="7" r:id="rId6"/>
    <sheet name="Grade Chart" sheetId="6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5" l="1" a="1"/>
  <c r="F5" i="5" s="1"/>
  <c r="F6" i="5" a="1"/>
  <c r="F6" i="5"/>
  <c r="F7" i="5" a="1"/>
  <c r="F7" i="5" s="1"/>
  <c r="F8" i="5" a="1"/>
  <c r="F8" i="5"/>
  <c r="F9" i="5" a="1"/>
  <c r="F9" i="5"/>
  <c r="F10" i="5" a="1"/>
  <c r="F10" i="5"/>
  <c r="F11" i="5" a="1"/>
  <c r="F11" i="5" s="1"/>
  <c r="F12" i="5" a="1"/>
  <c r="F12" i="5"/>
  <c r="F13" i="5" a="1"/>
  <c r="F13" i="5" s="1"/>
  <c r="F14" i="5" a="1"/>
  <c r="F14" i="5"/>
  <c r="F15" i="5" a="1"/>
  <c r="F15" i="5"/>
  <c r="F16" i="5" a="1"/>
  <c r="F16" i="5"/>
  <c r="F17" i="5" a="1"/>
  <c r="F17" i="5" s="1"/>
  <c r="F18" i="5" a="1"/>
  <c r="F18" i="5"/>
  <c r="F19" i="5" a="1"/>
  <c r="F19" i="5" s="1"/>
  <c r="F20" i="5" a="1"/>
  <c r="F20" i="5"/>
  <c r="F21" i="5" a="1"/>
  <c r="F21" i="5"/>
  <c r="F22" i="5" a="1"/>
  <c r="F22" i="5"/>
  <c r="F23" i="5" a="1"/>
  <c r="F23" i="5" s="1"/>
  <c r="F24" i="5" a="1"/>
  <c r="F24" i="5"/>
  <c r="F25" i="5" a="1"/>
  <c r="F25" i="5" s="1"/>
  <c r="F26" i="5" a="1"/>
  <c r="F26" i="5"/>
  <c r="F27" i="5" a="1"/>
  <c r="F27" i="5"/>
  <c r="F28" i="5" a="1"/>
  <c r="F28" i="5"/>
  <c r="F29" i="5" a="1"/>
  <c r="F29" i="5" s="1"/>
  <c r="F30" i="5" a="1"/>
  <c r="F30" i="5"/>
  <c r="F31" i="5" a="1"/>
  <c r="F31" i="5" s="1"/>
  <c r="F32" i="5" a="1"/>
  <c r="F32" i="5"/>
  <c r="F33" i="5" a="1"/>
  <c r="F33" i="5"/>
  <c r="F34" i="5" a="1"/>
  <c r="F34" i="5"/>
  <c r="F35" i="5" a="1"/>
  <c r="F35" i="5" s="1"/>
  <c r="F36" i="5" a="1"/>
  <c r="F36" i="5"/>
  <c r="F37" i="5" a="1"/>
  <c r="F37" i="5" s="1"/>
  <c r="F38" i="5" a="1"/>
  <c r="F38" i="5"/>
  <c r="F39" i="5" a="1"/>
  <c r="F39" i="5"/>
  <c r="F40" i="5" a="1"/>
  <c r="F40" i="5"/>
  <c r="F41" i="5" a="1"/>
  <c r="F41" i="5" s="1"/>
  <c r="F42" i="5" a="1"/>
  <c r="F42" i="5"/>
  <c r="F43" i="5" a="1"/>
  <c r="F43" i="5" s="1"/>
  <c r="E5" i="5" a="1"/>
  <c r="E5" i="5" s="1"/>
  <c r="E6" i="5" a="1"/>
  <c r="E6" i="5"/>
  <c r="E7" i="5" a="1"/>
  <c r="E7" i="5" s="1"/>
  <c r="E8" i="5" a="1"/>
  <c r="E8" i="5"/>
  <c r="E9" i="5" a="1"/>
  <c r="E9" i="5"/>
  <c r="E10" i="5" a="1"/>
  <c r="E10" i="5"/>
  <c r="E11" i="5" a="1"/>
  <c r="E11" i="5" s="1"/>
  <c r="E12" i="5" a="1"/>
  <c r="E12" i="5"/>
  <c r="E13" i="5" a="1"/>
  <c r="E13" i="5"/>
  <c r="E14" i="5" a="1"/>
  <c r="E14" i="5"/>
  <c r="E15" i="5" a="1"/>
  <c r="E15" i="5"/>
  <c r="E16" i="5" a="1"/>
  <c r="E16" i="5"/>
  <c r="E17" i="5" a="1"/>
  <c r="E17" i="5" s="1"/>
  <c r="E18" i="5" a="1"/>
  <c r="E18" i="5"/>
  <c r="E19" i="5" a="1"/>
  <c r="E19" i="5"/>
  <c r="E20" i="5" a="1"/>
  <c r="E20" i="5" s="1"/>
  <c r="E21" i="5" a="1"/>
  <c r="E21" i="5"/>
  <c r="E22" i="5" a="1"/>
  <c r="E22" i="5"/>
  <c r="E23" i="5" a="1"/>
  <c r="E23" i="5" s="1"/>
  <c r="E24" i="5" a="1"/>
  <c r="E24" i="5"/>
  <c r="E25" i="5" a="1"/>
  <c r="E25" i="5"/>
  <c r="E26" i="5" a="1"/>
  <c r="E26" i="5"/>
  <c r="E27" i="5" a="1"/>
  <c r="E27" i="5"/>
  <c r="E28" i="5" a="1"/>
  <c r="E28" i="5"/>
  <c r="E29" i="5" a="1"/>
  <c r="E29" i="5" s="1"/>
  <c r="E30" i="5" a="1"/>
  <c r="E30" i="5"/>
  <c r="E31" i="5" a="1"/>
  <c r="E31" i="5" s="1"/>
  <c r="E32" i="5" a="1"/>
  <c r="E32" i="5"/>
  <c r="E33" i="5" a="1"/>
  <c r="E33" i="5"/>
  <c r="E34" i="5" a="1"/>
  <c r="E34" i="5"/>
  <c r="E35" i="5" a="1"/>
  <c r="E35" i="5" s="1"/>
  <c r="E36" i="5" a="1"/>
  <c r="E36" i="5"/>
  <c r="E37" i="5" a="1"/>
  <c r="E37" i="5"/>
  <c r="E38" i="5" a="1"/>
  <c r="E38" i="5"/>
  <c r="E39" i="5" a="1"/>
  <c r="E39" i="5"/>
  <c r="E40" i="5" a="1"/>
  <c r="E40" i="5"/>
  <c r="E41" i="5" a="1"/>
  <c r="E41" i="5" s="1"/>
  <c r="E42" i="5" a="1"/>
  <c r="E42" i="5"/>
  <c r="E43" i="5" a="1"/>
  <c r="E43" i="5" s="1"/>
  <c r="F4" i="5" a="1"/>
  <c r="F4" i="5" s="1"/>
  <c r="E4" i="5" a="1"/>
  <c r="E4" i="5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" i="2"/>
  <c r="T7" i="2" a="1"/>
  <c r="T13" i="2" a="1"/>
  <c r="T19" i="2" a="1"/>
  <c r="T25" i="2" a="1"/>
  <c r="T31" i="2" a="1"/>
  <c r="T37" i="2" a="1"/>
  <c r="T9" i="2" a="1"/>
  <c r="T21" i="2" a="1"/>
  <c r="T33" i="2" a="1"/>
  <c r="T10" i="2" a="1"/>
  <c r="T22" i="2" a="1"/>
  <c r="T28" i="2" a="1"/>
  <c r="T34" i="2" a="1"/>
  <c r="T11" i="2" a="1"/>
  <c r="T23" i="2" a="1"/>
  <c r="T29" i="2" a="1"/>
  <c r="T35" i="2" a="1"/>
  <c r="T41" i="2" a="1"/>
  <c r="T12" i="2" a="1"/>
  <c r="T18" i="2" a="1"/>
  <c r="T30" i="2" a="1"/>
  <c r="T8" i="2" a="1"/>
  <c r="T14" i="2" a="1"/>
  <c r="T20" i="2" a="1"/>
  <c r="T26" i="2" a="1"/>
  <c r="T32" i="2" a="1"/>
  <c r="T38" i="2" a="1"/>
  <c r="T15" i="2" a="1"/>
  <c r="T27" i="2" a="1"/>
  <c r="T39" i="2" a="1"/>
  <c r="T16" i="2" a="1"/>
  <c r="T40" i="2" a="1"/>
  <c r="T17" i="2" a="1"/>
  <c r="T6" i="2" a="1"/>
  <c r="T24" i="2" a="1"/>
  <c r="T36" i="2" a="1"/>
  <c r="T2" i="2" a="1"/>
  <c r="T3" i="2" a="1"/>
  <c r="T4" i="2" a="1"/>
  <c r="S5" i="2" a="1"/>
  <c r="S11" i="2" a="1"/>
  <c r="S17" i="2" a="1"/>
  <c r="S23" i="2" a="1"/>
  <c r="S29" i="2" a="1"/>
  <c r="S35" i="2" a="1"/>
  <c r="S41" i="2" a="1"/>
  <c r="S6" i="2" a="1"/>
  <c r="S12" i="2" a="1"/>
  <c r="S18" i="2" a="1"/>
  <c r="S24" i="2" a="1"/>
  <c r="S30" i="2" a="1"/>
  <c r="S36" i="2" a="1"/>
  <c r="S13" i="2" a="1"/>
  <c r="S19" i="2" a="1"/>
  <c r="S25" i="2" a="1"/>
  <c r="S31" i="2" a="1"/>
  <c r="S37" i="2" a="1"/>
  <c r="S8" i="2" a="1"/>
  <c r="S14" i="2" a="1"/>
  <c r="S20" i="2" a="1"/>
  <c r="S26" i="2" a="1"/>
  <c r="S32" i="2" a="1"/>
  <c r="S38" i="2" a="1"/>
  <c r="S9" i="2" a="1"/>
  <c r="S15" i="2" a="1"/>
  <c r="S21" i="2" a="1"/>
  <c r="S27" i="2" a="1"/>
  <c r="S33" i="2" a="1"/>
  <c r="S39" i="2" a="1"/>
  <c r="S4" i="2" a="1"/>
  <c r="S10" i="2" a="1"/>
  <c r="S16" i="2" a="1"/>
  <c r="S22" i="2" a="1"/>
  <c r="S34" i="2" a="1"/>
  <c r="S7" i="2" a="1"/>
  <c r="S28" i="2" a="1"/>
  <c r="S40" i="2" a="1"/>
  <c r="S2" i="2" a="1"/>
  <c r="R6" i="2"/>
  <c r="R18" i="2"/>
  <c r="R30" i="2"/>
  <c r="R20" i="2"/>
  <c r="R32" i="2"/>
  <c r="R9" i="2"/>
  <c r="R33" i="2"/>
  <c r="R10" i="2"/>
  <c r="R34" i="2"/>
  <c r="R11" i="2"/>
  <c r="R23" i="2"/>
  <c r="R12" i="2"/>
  <c r="R36" i="2"/>
  <c r="R25" i="2"/>
  <c r="R15" i="2"/>
  <c r="R39" i="2"/>
  <c r="R16" i="2"/>
  <c r="R29" i="2"/>
  <c r="R7" i="2"/>
  <c r="R19" i="2"/>
  <c r="R31" i="2"/>
  <c r="R8" i="2"/>
  <c r="R21" i="2"/>
  <c r="R22" i="2"/>
  <c r="R35" i="2"/>
  <c r="R24" i="2"/>
  <c r="R13" i="2"/>
  <c r="R37" i="2"/>
  <c r="R14" i="2"/>
  <c r="R26" i="2"/>
  <c r="R38" i="2"/>
  <c r="R27" i="2"/>
  <c r="R28" i="2"/>
  <c r="R40" i="2"/>
  <c r="R17" i="2"/>
  <c r="R41" i="2"/>
  <c r="R2" i="2"/>
  <c r="R3" i="2"/>
  <c r="R4" i="2"/>
  <c r="N4" i="2"/>
  <c r="N16" i="2"/>
  <c r="N28" i="2"/>
  <c r="N40" i="2"/>
  <c r="N5" i="2"/>
  <c r="N17" i="2"/>
  <c r="N29" i="2"/>
  <c r="N41" i="2"/>
  <c r="N6" i="2"/>
  <c r="N18" i="2"/>
  <c r="N30" i="2"/>
  <c r="N7" i="2"/>
  <c r="N19" i="2"/>
  <c r="N31" i="2"/>
  <c r="N8" i="2"/>
  <c r="N20" i="2"/>
  <c r="N32" i="2"/>
  <c r="N9" i="2"/>
  <c r="N21" i="2"/>
  <c r="N33" i="2"/>
  <c r="N10" i="2"/>
  <c r="N22" i="2"/>
  <c r="N34" i="2"/>
  <c r="N11" i="2"/>
  <c r="N23" i="2"/>
  <c r="N35" i="2"/>
  <c r="N12" i="2"/>
  <c r="N24" i="2"/>
  <c r="N36" i="2"/>
  <c r="N13" i="2"/>
  <c r="N25" i="2"/>
  <c r="N37" i="2"/>
  <c r="N14" i="2"/>
  <c r="N26" i="2"/>
  <c r="N38" i="2"/>
  <c r="N15" i="2"/>
  <c r="N27" i="2"/>
  <c r="N39" i="2"/>
  <c r="N2" i="2"/>
  <c r="T36" i="2" l="1"/>
  <c r="T24" i="2"/>
  <c r="T6" i="2"/>
  <c r="T17" i="2"/>
  <c r="T40" i="2"/>
  <c r="T16" i="2"/>
  <c r="T39" i="2"/>
  <c r="T27" i="2"/>
  <c r="T15" i="2"/>
  <c r="T38" i="2"/>
  <c r="T32" i="2"/>
  <c r="T26" i="2"/>
  <c r="T20" i="2"/>
  <c r="T14" i="2"/>
  <c r="T8" i="2"/>
  <c r="T30" i="2"/>
  <c r="T18" i="2"/>
  <c r="T12" i="2"/>
  <c r="T41" i="2"/>
  <c r="T35" i="2"/>
  <c r="T29" i="2"/>
  <c r="T23" i="2"/>
  <c r="T11" i="2"/>
  <c r="T34" i="2"/>
  <c r="T28" i="2"/>
  <c r="T22" i="2"/>
  <c r="T10" i="2"/>
  <c r="T33" i="2"/>
  <c r="T21" i="2"/>
  <c r="T9" i="2"/>
  <c r="T37" i="2"/>
  <c r="T31" i="2"/>
  <c r="T25" i="2"/>
  <c r="T19" i="2"/>
  <c r="T13" i="2"/>
  <c r="T7" i="2"/>
  <c r="T4" i="2"/>
  <c r="T3" i="2"/>
  <c r="T2" i="2"/>
  <c r="S40" i="2"/>
  <c r="S28" i="2"/>
  <c r="S7" i="2"/>
  <c r="S34" i="2"/>
  <c r="S22" i="2"/>
  <c r="S16" i="2"/>
  <c r="S10" i="2"/>
  <c r="S4" i="2"/>
  <c r="S39" i="2"/>
  <c r="S33" i="2"/>
  <c r="S27" i="2"/>
  <c r="S21" i="2"/>
  <c r="S15" i="2"/>
  <c r="S9" i="2"/>
  <c r="S38" i="2"/>
  <c r="S32" i="2"/>
  <c r="S26" i="2"/>
  <c r="S20" i="2"/>
  <c r="S14" i="2"/>
  <c r="S8" i="2"/>
  <c r="S37" i="2"/>
  <c r="S31" i="2"/>
  <c r="S25" i="2"/>
  <c r="S19" i="2"/>
  <c r="S13" i="2"/>
  <c r="S36" i="2"/>
  <c r="S30" i="2"/>
  <c r="S24" i="2"/>
  <c r="S18" i="2"/>
  <c r="S12" i="2"/>
  <c r="S6" i="2"/>
  <c r="S41" i="2"/>
  <c r="S35" i="2"/>
  <c r="S29" i="2"/>
  <c r="S23" i="2"/>
  <c r="S17" i="2"/>
  <c r="S11" i="2"/>
  <c r="S5" i="2"/>
  <c r="S2" i="2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" i="3"/>
  <c r="G4" i="3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O3" i="1"/>
  <c r="O4" i="1"/>
  <c r="O5" i="1"/>
  <c r="O6" i="1"/>
  <c r="O7" i="1"/>
  <c r="O8" i="1"/>
  <c r="O9" i="1"/>
  <c r="O10" i="1"/>
  <c r="O11" i="1"/>
  <c r="Q3" i="2"/>
  <c r="R4" i="1" a="1"/>
  <c r="R10" i="1" a="1"/>
  <c r="R16" i="1" a="1"/>
  <c r="R22" i="1" a="1"/>
  <c r="R28" i="1" a="1"/>
  <c r="R34" i="1" a="1"/>
  <c r="R40" i="1" a="1"/>
  <c r="R5" i="1" a="1"/>
  <c r="R11" i="1" a="1"/>
  <c r="R17" i="1" a="1"/>
  <c r="R23" i="1" a="1"/>
  <c r="R29" i="1" a="1"/>
  <c r="R35" i="1" a="1"/>
  <c r="R41" i="1" a="1"/>
  <c r="R6" i="1" a="1"/>
  <c r="R12" i="1" a="1"/>
  <c r="R18" i="1" a="1"/>
  <c r="R24" i="1" a="1"/>
  <c r="R30" i="1" a="1"/>
  <c r="R36" i="1" a="1"/>
  <c r="R7" i="1" a="1"/>
  <c r="R13" i="1" a="1"/>
  <c r="R19" i="1" a="1"/>
  <c r="R25" i="1" a="1"/>
  <c r="R31" i="1" a="1"/>
  <c r="R37" i="1" a="1"/>
  <c r="R8" i="1" a="1"/>
  <c r="R14" i="1" a="1"/>
  <c r="R20" i="1" a="1"/>
  <c r="R26" i="1" a="1"/>
  <c r="R32" i="1" a="1"/>
  <c r="R38" i="1" a="1"/>
  <c r="R3" i="1" a="1"/>
  <c r="R9" i="1" a="1"/>
  <c r="R15" i="1" a="1"/>
  <c r="R21" i="1" a="1"/>
  <c r="R27" i="1" a="1"/>
  <c r="R33" i="1" a="1"/>
  <c r="R39" i="1" a="1"/>
  <c r="R2" i="1" a="1"/>
  <c r="Q3" i="1" a="1"/>
  <c r="Q9" i="1" a="1"/>
  <c r="Q15" i="1" a="1"/>
  <c r="Q21" i="1" a="1"/>
  <c r="Q27" i="1" a="1"/>
  <c r="Q33" i="1" a="1"/>
  <c r="Q39" i="1" a="1"/>
  <c r="Q13" i="1" a="1"/>
  <c r="Q20" i="1" a="1"/>
  <c r="Q32" i="1" a="1"/>
  <c r="Q5" i="1" a="1"/>
  <c r="Q19" i="1" a="1"/>
  <c r="Q31" i="1" a="1"/>
  <c r="Q8" i="1" a="1"/>
  <c r="Q26" i="1" a="1"/>
  <c r="Q4" i="1" a="1"/>
  <c r="Q10" i="1" a="1"/>
  <c r="Q16" i="1" a="1"/>
  <c r="Q22" i="1" a="1"/>
  <c r="Q28" i="1" a="1"/>
  <c r="Q34" i="1" a="1"/>
  <c r="Q40" i="1" a="1"/>
  <c r="Q11" i="1" a="1"/>
  <c r="Q17" i="1" a="1"/>
  <c r="Q23" i="1" a="1"/>
  <c r="Q29" i="1" a="1"/>
  <c r="Q35" i="1" a="1"/>
  <c r="Q41" i="1" a="1"/>
  <c r="Q6" i="1" a="1"/>
  <c r="Q12" i="1" a="1"/>
  <c r="Q18" i="1" a="1"/>
  <c r="Q24" i="1" a="1"/>
  <c r="Q30" i="1" a="1"/>
  <c r="Q36" i="1" a="1"/>
  <c r="Q7" i="1" a="1"/>
  <c r="Q25" i="1" a="1"/>
  <c r="Q37" i="1" a="1"/>
  <c r="Q14" i="1" a="1"/>
  <c r="Q38" i="1" a="1"/>
  <c r="Q2" i="1" a="1"/>
  <c r="R5" i="2"/>
  <c r="S3" i="2" a="1"/>
  <c r="N3" i="2"/>
  <c r="T5" i="2" a="1"/>
  <c r="R39" i="1" l="1"/>
  <c r="R33" i="1"/>
  <c r="R27" i="1"/>
  <c r="R21" i="1"/>
  <c r="R15" i="1"/>
  <c r="R9" i="1"/>
  <c r="R3" i="1"/>
  <c r="R38" i="1"/>
  <c r="R32" i="1"/>
  <c r="R26" i="1"/>
  <c r="R20" i="1"/>
  <c r="R14" i="1"/>
  <c r="R8" i="1"/>
  <c r="R37" i="1"/>
  <c r="R31" i="1"/>
  <c r="R25" i="1"/>
  <c r="R19" i="1"/>
  <c r="R13" i="1"/>
  <c r="R7" i="1"/>
  <c r="R36" i="1"/>
  <c r="R30" i="1"/>
  <c r="R24" i="1"/>
  <c r="R18" i="1"/>
  <c r="R12" i="1"/>
  <c r="R6" i="1"/>
  <c r="R41" i="1"/>
  <c r="R35" i="1"/>
  <c r="R29" i="1"/>
  <c r="R23" i="1"/>
  <c r="R17" i="1"/>
  <c r="R11" i="1"/>
  <c r="R5" i="1"/>
  <c r="R40" i="1"/>
  <c r="R34" i="1"/>
  <c r="R28" i="1"/>
  <c r="R22" i="1"/>
  <c r="R16" i="1"/>
  <c r="R10" i="1"/>
  <c r="R4" i="1"/>
  <c r="R2" i="1"/>
  <c r="Q38" i="1"/>
  <c r="Q14" i="1"/>
  <c r="Q37" i="1"/>
  <c r="Q25" i="1"/>
  <c r="Q7" i="1"/>
  <c r="Q36" i="1"/>
  <c r="Q30" i="1"/>
  <c r="Q24" i="1"/>
  <c r="Q18" i="1"/>
  <c r="Q12" i="1"/>
  <c r="Q6" i="1"/>
  <c r="Q41" i="1"/>
  <c r="Q35" i="1"/>
  <c r="Q29" i="1"/>
  <c r="Q23" i="1"/>
  <c r="Q17" i="1"/>
  <c r="Q11" i="1"/>
  <c r="Q40" i="1"/>
  <c r="Q34" i="1"/>
  <c r="Q28" i="1"/>
  <c r="Q22" i="1"/>
  <c r="Q16" i="1"/>
  <c r="Q10" i="1"/>
  <c r="Q4" i="1"/>
  <c r="Q26" i="1"/>
  <c r="Q8" i="1"/>
  <c r="Q31" i="1"/>
  <c r="Q19" i="1"/>
  <c r="Q5" i="1"/>
  <c r="Q32" i="1"/>
  <c r="Q20" i="1"/>
  <c r="Q13" i="1"/>
  <c r="Q39" i="1"/>
  <c r="Q33" i="1"/>
  <c r="Q27" i="1"/>
  <c r="Q21" i="1"/>
  <c r="Q15" i="1"/>
  <c r="Q9" i="1"/>
  <c r="Q3" i="1"/>
  <c r="Q2" i="1"/>
  <c r="T5" i="2"/>
  <c r="S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<sst xmlns="http://schemas.openxmlformats.org/spreadsheetml/2006/main" count="112" uniqueCount="64">
  <si>
    <t>SL</t>
  </si>
  <si>
    <t>Student ID</t>
  </si>
  <si>
    <t>Name</t>
  </si>
  <si>
    <t>LabTask [30]</t>
  </si>
  <si>
    <t>Viva [20]</t>
  </si>
  <si>
    <t>MT Total</t>
  </si>
  <si>
    <t>Calculated
Grade</t>
  </si>
  <si>
    <t xml:space="preserve"> Date : </t>
  </si>
  <si>
    <t>LabTask1</t>
  </si>
  <si>
    <t>LabTask2</t>
  </si>
  <si>
    <t>Final Marks</t>
  </si>
  <si>
    <t>Copied Mark</t>
  </si>
  <si>
    <t>P</t>
  </si>
  <si>
    <t>FT Total</t>
  </si>
  <si>
    <t>Mid Term Marks</t>
  </si>
  <si>
    <t>Semester Total</t>
  </si>
  <si>
    <t>Semester Grade</t>
  </si>
  <si>
    <t>Comments</t>
  </si>
  <si>
    <t>OBE [15]</t>
  </si>
  <si>
    <t>Attendance
(10)</t>
  </si>
  <si>
    <t>Mid Term</t>
  </si>
  <si>
    <t>Final Term</t>
  </si>
  <si>
    <t>Mid-Lab [25]</t>
  </si>
  <si>
    <t>Final-Lab [40]</t>
  </si>
  <si>
    <t>CGPA</t>
  </si>
  <si>
    <t>W-1</t>
  </si>
  <si>
    <t>W-2</t>
  </si>
  <si>
    <t>W-3</t>
  </si>
  <si>
    <t>A</t>
  </si>
  <si>
    <t>W-4</t>
  </si>
  <si>
    <t>W-5</t>
  </si>
  <si>
    <t>W-6</t>
  </si>
  <si>
    <t>Marks Converter</t>
  </si>
  <si>
    <t>From</t>
  </si>
  <si>
    <t>To</t>
  </si>
  <si>
    <t xml:space="preserve"> Date : ____/____/2026
Term : ______ Term</t>
  </si>
  <si>
    <t>W</t>
  </si>
  <si>
    <t>UW</t>
  </si>
  <si>
    <t>Final Needed</t>
  </si>
  <si>
    <t>Overall Needed</t>
  </si>
  <si>
    <t>Course :  |  Section : [  ] | Mid Term</t>
  </si>
  <si>
    <t>Converted Mark</t>
  </si>
  <si>
    <t>Course : |  Section : [  ] | Final Term</t>
  </si>
  <si>
    <t>Course :  |  Section : [  ] | VIVA</t>
  </si>
  <si>
    <t xml:space="preserve"> Date : _____/_____/2026
Term : _______ Term</t>
  </si>
  <si>
    <t>Mid Needed</t>
  </si>
  <si>
    <t>Course :  |  Section : [  ] | _________________</t>
  </si>
  <si>
    <t>Grade</t>
  </si>
  <si>
    <t>Frequency</t>
  </si>
  <si>
    <t>A+</t>
  </si>
  <si>
    <t>B+</t>
  </si>
  <si>
    <t>B</t>
  </si>
  <si>
    <t>C+</t>
  </si>
  <si>
    <t>C</t>
  </si>
  <si>
    <t>D+</t>
  </si>
  <si>
    <t>D</t>
  </si>
  <si>
    <t>F</t>
  </si>
  <si>
    <t>I</t>
  </si>
  <si>
    <t>W-7</t>
  </si>
  <si>
    <t>W-8</t>
  </si>
  <si>
    <t>W-9</t>
  </si>
  <si>
    <t>W-10</t>
  </si>
  <si>
    <t>Total Mark</t>
  </si>
  <si>
    <t>Number of 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</si>
</sst>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100"/>
      <name val="Times New Roman"/>
      <family val="1"/>
    </font>
    <font>
      <b/>
      <sz val="12"/>
      <color rgb="FF006100"/>
      <name val="Calibri"/>
      <family val="2"/>
      <scheme val="minor"/>
    </font>
    <font>
      <sz val="10"/>
      <color rgb="FF0061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2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10" fillId="0" borderId="0"/>
  </cellStyleXfs>
  <cellXfs count="59">
    <xf numFmtId="0" fontId="0" fillId="0" borderId="0" xfId="0"/>
    <xf numFmtId="0" fontId="4" fillId="2" borderId="2" xfId="1" applyFont="1" applyBorder="1" applyAlignment="1">
      <alignment horizontal="center" vertical="center"/>
    </xf>
    <xf numFmtId="14" fontId="4" fillId="2" borderId="2" xfId="1" applyNumberFormat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/>
    </xf>
    <xf numFmtId="14" fontId="6" fillId="2" borderId="2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7" fillId="3" borderId="2" xfId="2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0" fillId="6" borderId="0" xfId="0" applyFill="1"/>
    <xf numFmtId="0" fontId="9" fillId="7" borderId="2" xfId="0" applyFont="1" applyFill="1" applyBorder="1" applyAlignment="1">
      <alignment horizontal="center" vertical="center"/>
    </xf>
    <xf numFmtId="14" fontId="4" fillId="2" borderId="2" xfId="1" applyNumberFormat="1" applyFont="1" applyBorder="1" applyAlignment="1">
      <alignment horizontal="center" vertical="center" wrapText="1"/>
    </xf>
    <xf numFmtId="0" fontId="10" fillId="4" borderId="2" xfId="3" applyFill="1" applyBorder="1"/>
    <xf numFmtId="0" fontId="10" fillId="5" borderId="2" xfId="3" applyFill="1" applyBorder="1"/>
    <xf numFmtId="0" fontId="5" fillId="2" borderId="2" xfId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14" fontId="6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10" fillId="0" borderId="2" xfId="3" applyBorder="1"/>
    <xf numFmtId="0" fontId="11" fillId="0" borderId="0" xfId="0" applyFont="1"/>
    <xf numFmtId="0" fontId="0" fillId="9" borderId="0" xfId="0" applyFill="1"/>
    <xf numFmtId="0" fontId="0" fillId="0" borderId="2" xfId="0" applyBorder="1" applyAlignment="1">
      <alignment horizontal="center" wrapText="1"/>
    </xf>
    <xf numFmtId="0" fontId="8" fillId="0" borderId="2" xfId="0" applyFont="1" applyBorder="1" applyAlignment="1">
      <alignment horizontal="left" vertical="center"/>
    </xf>
    <xf numFmtId="0" fontId="5" fillId="2" borderId="10" xfId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4" fillId="11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4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right" vertical="center"/>
    </xf>
    <xf numFmtId="0" fontId="11" fillId="0" borderId="2" xfId="0" applyFont="1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12" fillId="0" borderId="2" xfId="0" applyFont="1" applyFill="1" applyBorder="1"/>
    <xf numFmtId="0" fontId="0" fillId="0" borderId="0" xfId="0" applyFill="1"/>
    <xf numFmtId="0" fontId="0" fillId="0" borderId="5" xfId="0" applyFill="1" applyBorder="1"/>
  </cellXfs>
  <cellStyles count="4">
    <cellStyle name="Good" xfId="1" builtinId="26"/>
    <cellStyle name="Normal" xfId="0" builtinId="0"/>
    <cellStyle name="Normal 2" xfId="3" xr:uid="{F9AA511F-1257-405F-BCAE-8DBD0FBD3C58}"/>
    <cellStyle name="Note" xfId="2" builtinId="10"/>
  </cellStyles>
  <dxfs count="20">
    <dxf>
      <font>
        <color rgb="FF00B050"/>
      </font>
    </dxf>
    <dxf>
      <font>
        <color rgb="FFFF0000"/>
      </font>
    </dxf>
    <dxf>
      <font>
        <color theme="1"/>
      </font>
      <fill>
        <patternFill>
          <fgColor rgb="FF00B050"/>
          <bgColor rgb="FF00B050"/>
        </patternFill>
      </fill>
    </dxf>
    <dxf>
      <font>
        <color theme="1"/>
      </font>
      <fill>
        <patternFill>
          <fgColor rgb="FFFF0000"/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  <fill>
        <patternFill>
          <fgColor rgb="FF00B050"/>
          <bgColor rgb="FF00B050"/>
        </patternFill>
      </fill>
    </dxf>
    <dxf>
      <font>
        <color theme="1"/>
      </font>
      <fill>
        <patternFill>
          <fgColor rgb="FFFF0000"/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  <fill>
        <patternFill>
          <fgColor rgb="FF00B050"/>
          <bgColor rgb="FF00B050"/>
        </patternFill>
      </fill>
    </dxf>
    <dxf>
      <font>
        <color theme="1"/>
      </font>
      <fill>
        <patternFill>
          <fgColor rgb="FFFF0000"/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  <fill>
        <patternFill>
          <fgColor rgb="FF00B050"/>
          <bgColor rgb="FF00B050"/>
        </patternFill>
      </fill>
    </dxf>
    <dxf>
      <font>
        <color theme="1"/>
      </font>
      <fill>
        <patternFill>
          <fgColor rgb="FFFF0000"/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  <fill>
        <patternFill>
          <fgColor rgb="FF00B050"/>
          <bgColor rgb="FF00B050"/>
        </patternFill>
      </fill>
    </dxf>
    <dxf>
      <font>
        <color theme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89898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r>
              <a:rPr lang="en-US" b="1"/>
              <a:t>Course Name [</a:t>
            </a:r>
            <a:r>
              <a:rPr lang="en-US" b="1" baseline="0"/>
              <a:t>  ] - Final Term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man Old Style" panose="0205060405050502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Chart'!$L$3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'Grade Chart'!$K$4:$K$15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  <c:pt idx="8">
                  <c:v>F</c:v>
                </c:pt>
                <c:pt idx="9">
                  <c:v>I</c:v>
                </c:pt>
                <c:pt idx="10">
                  <c:v>W</c:v>
                </c:pt>
                <c:pt idx="11">
                  <c:v>UW</c:v>
                </c:pt>
              </c:strCache>
            </c:strRef>
          </c:cat>
          <c:val>
            <c:numRef>
              <c:f>'Grade Chart'!$L$4:$L$15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5-496A-9197-CE774868D99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518271"/>
        <c:axId val="1131837487"/>
      </c:barChart>
      <c:catAx>
        <c:axId val="117751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man Old Style" panose="0205060405050502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en-US"/>
          </a:p>
        </c:txPr>
        <c:crossAx val="1131837487"/>
        <c:crosses val="autoZero"/>
        <c:auto val="1"/>
        <c:lblAlgn val="ctr"/>
        <c:lblOffset val="100"/>
        <c:noMultiLvlLbl val="0"/>
      </c:catAx>
      <c:valAx>
        <c:axId val="11318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man Old Style" panose="0205060405050502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en-US"/>
          </a:p>
        </c:txPr>
        <c:crossAx val="117751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25400" cap="flat" cmpd="sng" algn="ctr">
      <a:solidFill>
        <a:srgbClr val="898989"/>
      </a:solidFill>
      <a:round/>
    </a:ln>
    <a:effectLst/>
  </c:spPr>
  <c:txPr>
    <a:bodyPr/>
    <a:lstStyle/>
    <a:p>
      <a:pPr>
        <a:defRPr>
          <a:latin typeface="Bookman Old Style" panose="0205060405050502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r>
              <a:rPr lang="en-US" b="1"/>
              <a:t>Course Name [  ] - Mid Term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man Old Style" panose="0205060405050502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Chart'!$B$3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'Grade Chart'!$A$4:$A$15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  <c:pt idx="8">
                  <c:v>F</c:v>
                </c:pt>
                <c:pt idx="9">
                  <c:v>I</c:v>
                </c:pt>
                <c:pt idx="10">
                  <c:v>W</c:v>
                </c:pt>
                <c:pt idx="11">
                  <c:v>UW</c:v>
                </c:pt>
              </c:strCache>
            </c:strRef>
          </c:cat>
          <c:val>
            <c:numRef>
              <c:f>'Grade Chart'!$B$4:$B$15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4-4C29-958F-CCFC75074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225919"/>
        <c:axId val="1131870607"/>
      </c:barChart>
      <c:catAx>
        <c:axId val="117922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man Old Style" panose="0205060405050502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en-US"/>
          </a:p>
        </c:txPr>
        <c:crossAx val="1131870607"/>
        <c:crosses val="autoZero"/>
        <c:auto val="1"/>
        <c:lblAlgn val="ctr"/>
        <c:lblOffset val="100"/>
        <c:noMultiLvlLbl val="0"/>
      </c:catAx>
      <c:valAx>
        <c:axId val="11318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man Old Style" panose="0205060405050502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en-US"/>
          </a:p>
        </c:txPr>
        <c:crossAx val="117922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EA"/>
    </a:solidFill>
    <a:ln w="25400" cap="flat" cmpd="sng" algn="ctr">
      <a:solidFill>
        <a:srgbClr val="898989"/>
      </a:solidFill>
      <a:round/>
    </a:ln>
    <a:effectLst/>
  </c:spPr>
  <c:txPr>
    <a:bodyPr/>
    <a:lstStyle/>
    <a:p>
      <a:pPr>
        <a:defRPr>
          <a:latin typeface="Bookman Old Style" panose="0205060405050502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16</xdr:row>
      <xdr:rowOff>11430</xdr:rowOff>
    </xdr:from>
    <xdr:to>
      <xdr:col>19</xdr:col>
      <xdr:colOff>381000</xdr:colOff>
      <xdr:row>31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D2CFE1-18E8-F028-DB03-0BBA55897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251460</xdr:colOff>
      <xdr:row>16</xdr:row>
      <xdr:rowOff>41910</xdr:rowOff>
    </xdr:from>
    <xdr:to>
      <xdr:col>7</xdr:col>
      <xdr:colOff>556260</xdr:colOff>
      <xdr:row>31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859BF5-AD8A-94A3-8223-88B615218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Grading_Colorization.xlam" TargetMode="External"/><Relationship Id="rId1" Type="http://schemas.openxmlformats.org/officeDocument/2006/relationships/externalLinkPath" Target="file:///C:\Users\User\AppData\Roaming\Microsoft\AddIns\Grading_Colorization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AIUB_MarksNeeded.xlam" TargetMode="External"/><Relationship Id="rId1" Type="http://schemas.openxmlformats.org/officeDocument/2006/relationships/externalLinkPath" Target="file:///C:\Users\User\AppData\Roaming\Microsoft\AddIns\AIUB_MarksNeeded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AIUB_Grade_V3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AIUB_MarksNeede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2" sqref="O2"/>
    </sheetView>
  </sheetViews>
  <sheetFormatPr defaultRowHeight="14.4"/>
  <cols>
    <col min="2" max="2" width="11.44140625" bestFit="1" customWidth="1"/>
    <col min="3" max="3" width="34.6640625" bestFit="1" customWidth="1"/>
    <col min="4" max="4" width="11.33203125" bestFit="1" customWidth="1"/>
    <col min="5" max="5" width="10.109375" bestFit="1" customWidth="1"/>
    <col min="6" max="6" width="11.33203125" bestFit="1" customWidth="1"/>
    <col min="7" max="7" width="9" bestFit="1" customWidth="1"/>
    <col min="8" max="8" width="9" customWidth="1"/>
    <col min="9" max="9" width="9.88671875" bestFit="1" customWidth="1"/>
    <col min="10" max="10" width="12.44140625" bestFit="1" customWidth="1"/>
    <col min="11" max="11" width="8.6640625" style="17"/>
    <col min="15" max="15" width="11.109375" customWidth="1"/>
    <col min="16" max="16" width="7.33203125" customWidth="1"/>
    <col min="17" max="17" width="13.5546875" customWidth="1"/>
    <col min="19" max="19" width="12" customWidth="1"/>
  </cols>
  <sheetData>
    <row r="1" spans="1:20" ht="40.5" customHeight="1">
      <c r="A1" s="1" t="s">
        <v>0</v>
      </c>
      <c r="B1" s="1" t="s">
        <v>1</v>
      </c>
      <c r="C1" s="1" t="s">
        <v>2</v>
      </c>
      <c r="D1" s="13" t="s">
        <v>25</v>
      </c>
      <c r="E1" s="13" t="s">
        <v>26</v>
      </c>
      <c r="F1" s="2" t="s">
        <v>27</v>
      </c>
      <c r="G1" s="2" t="s">
        <v>29</v>
      </c>
      <c r="H1" s="2" t="s">
        <v>30</v>
      </c>
      <c r="I1" s="2" t="s">
        <v>31</v>
      </c>
      <c r="J1" s="4" t="s">
        <v>19</v>
      </c>
      <c r="K1" s="16" t="s">
        <v>18</v>
      </c>
      <c r="L1" s="4" t="s">
        <v>3</v>
      </c>
      <c r="M1" s="4" t="s">
        <v>22</v>
      </c>
      <c r="N1" s="4" t="s">
        <v>4</v>
      </c>
      <c r="O1" s="3" t="s">
        <v>5</v>
      </c>
      <c r="P1" s="4" t="s">
        <v>24</v>
      </c>
      <c r="Q1" s="4" t="s">
        <v>6</v>
      </c>
      <c r="R1" s="29" t="s">
        <v>45</v>
      </c>
      <c r="T1" s="7"/>
    </row>
    <row r="2" spans="1:20">
      <c r="A2" s="8">
        <v>1</v>
      </c>
      <c r="B2" s="14"/>
      <c r="C2" s="15"/>
      <c r="D2" s="48" t="s">
        <v>12</v>
      </c>
      <c r="E2" s="48" t="s">
        <v>28</v>
      </c>
      <c r="F2" s="48"/>
      <c r="G2" s="48"/>
      <c r="H2" s="48"/>
      <c r="I2" s="48"/>
      <c r="J2" s="49"/>
      <c r="K2" s="50"/>
      <c r="L2" s="49"/>
      <c r="M2" s="49"/>
      <c r="N2" s="49"/>
      <c r="O2" s="12">
        <f t="shared" ref="O2:O41" si="0">SUM(J2:N2)</f>
        <v>0</v>
      </c>
      <c r="P2" s="51"/>
      <c r="Q2" s="51" t="str" cm="1">
        <f t="array" ref="Q2">[1]!AIUB_Grade_V3(O2)</f>
        <v>F</v>
      </c>
      <c r="R2" s="10" cm="1">
        <f t="array" ref="R2">[2]!AIUB_MarksNeeded(O2)</f>
        <v>50</v>
      </c>
    </row>
    <row r="3" spans="1:20">
      <c r="A3" s="8">
        <v>2</v>
      </c>
      <c r="B3" s="14"/>
      <c r="C3" s="15"/>
      <c r="D3" s="48"/>
      <c r="E3" s="48"/>
      <c r="F3" s="48"/>
      <c r="G3" s="48"/>
      <c r="H3" s="48"/>
      <c r="I3" s="48"/>
      <c r="J3" s="52"/>
      <c r="K3" s="53"/>
      <c r="L3" s="52"/>
      <c r="M3" s="52"/>
      <c r="N3" s="52"/>
      <c r="O3" s="12">
        <f t="shared" si="0"/>
        <v>0</v>
      </c>
      <c r="P3" s="54"/>
      <c r="Q3" s="51" t="str" cm="1">
        <f t="array" ref="Q3">[1]!AIUB_Grade_V3(O3)</f>
        <v>F</v>
      </c>
      <c r="R3" s="10" cm="1">
        <f t="array" ref="R3">[2]!AIUB_MarksNeeded(O3)</f>
        <v>50</v>
      </c>
    </row>
    <row r="4" spans="1:20">
      <c r="A4" s="8">
        <v>3</v>
      </c>
      <c r="B4" s="14"/>
      <c r="C4" s="15"/>
      <c r="D4" s="48"/>
      <c r="E4" s="48"/>
      <c r="F4" s="48"/>
      <c r="G4" s="48"/>
      <c r="H4" s="48"/>
      <c r="I4" s="48"/>
      <c r="J4" s="52"/>
      <c r="K4" s="53"/>
      <c r="L4" s="52"/>
      <c r="M4" s="52"/>
      <c r="N4" s="49"/>
      <c r="O4" s="12">
        <f t="shared" si="0"/>
        <v>0</v>
      </c>
      <c r="P4" s="55"/>
      <c r="Q4" s="51" t="str" cm="1">
        <f t="array" ref="Q4">[1]!AIUB_Grade_V3(O4)</f>
        <v>F</v>
      </c>
      <c r="R4" s="10" cm="1">
        <f t="array" ref="R4">[2]!AIUB_MarksNeeded(O4)</f>
        <v>50</v>
      </c>
    </row>
    <row r="5" spans="1:20">
      <c r="A5" s="8">
        <v>4</v>
      </c>
      <c r="B5" s="14"/>
      <c r="C5" s="15"/>
      <c r="D5" s="48"/>
      <c r="E5" s="48"/>
      <c r="F5" s="48"/>
      <c r="G5" s="48"/>
      <c r="H5" s="48"/>
      <c r="I5" s="48"/>
      <c r="J5" s="52"/>
      <c r="K5" s="53"/>
      <c r="L5" s="52"/>
      <c r="M5" s="52"/>
      <c r="N5" s="52"/>
      <c r="O5" s="12">
        <f t="shared" si="0"/>
        <v>0</v>
      </c>
      <c r="P5" s="55"/>
      <c r="Q5" s="51" t="str" cm="1">
        <f t="array" ref="Q5">[1]!AIUB_Grade_V3(O5)</f>
        <v>F</v>
      </c>
      <c r="R5" s="10" cm="1">
        <f t="array" ref="R5">[2]!AIUB_MarksNeeded(O5)</f>
        <v>50</v>
      </c>
    </row>
    <row r="6" spans="1:20">
      <c r="A6" s="8">
        <v>5</v>
      </c>
      <c r="B6" s="14"/>
      <c r="C6" s="15"/>
      <c r="D6" s="48"/>
      <c r="E6" s="48"/>
      <c r="F6" s="48"/>
      <c r="G6" s="48"/>
      <c r="H6" s="48"/>
      <c r="I6" s="48"/>
      <c r="J6" s="52"/>
      <c r="K6" s="53"/>
      <c r="L6" s="52"/>
      <c r="M6" s="52"/>
      <c r="N6" s="52"/>
      <c r="O6" s="12">
        <f t="shared" si="0"/>
        <v>0</v>
      </c>
      <c r="P6" s="55"/>
      <c r="Q6" s="51" t="str" cm="1">
        <f t="array" ref="Q6">[1]!AIUB_Grade_V3(O6)</f>
        <v>F</v>
      </c>
      <c r="R6" s="10" cm="1">
        <f t="array" ref="R6">[2]!AIUB_MarksNeeded(O6)</f>
        <v>50</v>
      </c>
    </row>
    <row r="7" spans="1:20">
      <c r="A7" s="8">
        <v>6</v>
      </c>
      <c r="B7" s="14"/>
      <c r="C7" s="15"/>
      <c r="D7" s="48"/>
      <c r="E7" s="48"/>
      <c r="F7" s="48"/>
      <c r="G7" s="48"/>
      <c r="H7" s="48"/>
      <c r="I7" s="48"/>
      <c r="J7" s="52"/>
      <c r="K7" s="53"/>
      <c r="L7" s="52"/>
      <c r="M7" s="52"/>
      <c r="N7" s="52"/>
      <c r="O7" s="12">
        <f t="shared" si="0"/>
        <v>0</v>
      </c>
      <c r="P7" s="55"/>
      <c r="Q7" s="51" t="str" cm="1">
        <f t="array" ref="Q7">[1]!AIUB_Grade_V3(O7)</f>
        <v>F</v>
      </c>
      <c r="R7" s="10" cm="1">
        <f t="array" ref="R7">[2]!AIUB_MarksNeeded(O7)</f>
        <v>50</v>
      </c>
    </row>
    <row r="8" spans="1:20">
      <c r="A8" s="8">
        <v>7</v>
      </c>
      <c r="B8" s="14"/>
      <c r="C8" s="15"/>
      <c r="D8" s="48"/>
      <c r="E8" s="48"/>
      <c r="F8" s="48"/>
      <c r="G8" s="48"/>
      <c r="H8" s="48"/>
      <c r="I8" s="48"/>
      <c r="J8" s="52"/>
      <c r="K8" s="53"/>
      <c r="L8" s="52"/>
      <c r="M8" s="52"/>
      <c r="N8" s="52"/>
      <c r="O8" s="12">
        <f t="shared" si="0"/>
        <v>0</v>
      </c>
      <c r="P8" s="55"/>
      <c r="Q8" s="51" t="str" cm="1">
        <f t="array" ref="Q8">[1]!AIUB_Grade_V3(O8)</f>
        <v>F</v>
      </c>
      <c r="R8" s="10" cm="1">
        <f t="array" ref="R8">[2]!AIUB_MarksNeeded(O8)</f>
        <v>50</v>
      </c>
    </row>
    <row r="9" spans="1:20" ht="14.1" customHeight="1">
      <c r="A9" s="8">
        <v>8</v>
      </c>
      <c r="B9" s="14"/>
      <c r="C9" s="15"/>
      <c r="D9" s="9"/>
      <c r="E9" s="9"/>
      <c r="F9" s="9"/>
      <c r="G9" s="9"/>
      <c r="H9" s="9"/>
      <c r="I9" s="9"/>
      <c r="J9" s="21"/>
      <c r="K9" s="22"/>
      <c r="L9" s="21"/>
      <c r="M9" s="21"/>
      <c r="N9" s="21"/>
      <c r="O9" s="12">
        <f t="shared" si="0"/>
        <v>0</v>
      </c>
      <c r="P9" s="55"/>
      <c r="Q9" s="51" t="str" cm="1">
        <f t="array" ref="Q9">[1]!AIUB_Grade_V3(O9)</f>
        <v>F</v>
      </c>
      <c r="R9" s="10" cm="1">
        <f t="array" ref="R9">[2]!AIUB_MarksNeeded(O9)</f>
        <v>50</v>
      </c>
    </row>
    <row r="10" spans="1:20">
      <c r="A10" s="8">
        <v>9</v>
      </c>
      <c r="B10" s="14"/>
      <c r="C10" s="15"/>
      <c r="D10" s="9"/>
      <c r="E10" s="9"/>
      <c r="F10" s="9"/>
      <c r="G10" s="9"/>
      <c r="H10" s="9"/>
      <c r="I10" s="9"/>
      <c r="J10" s="21"/>
      <c r="K10" s="22"/>
      <c r="L10" s="21"/>
      <c r="M10" s="21"/>
      <c r="N10" s="21"/>
      <c r="O10" s="12">
        <f t="shared" si="0"/>
        <v>0</v>
      </c>
      <c r="P10" s="55"/>
      <c r="Q10" s="51" t="str" cm="1">
        <f t="array" ref="Q10">[1]!AIUB_Grade_V3(O10)</f>
        <v>F</v>
      </c>
      <c r="R10" s="10" cm="1">
        <f t="array" ref="R10">[2]!AIUB_MarksNeeded(O10)</f>
        <v>50</v>
      </c>
    </row>
    <row r="11" spans="1:20">
      <c r="A11" s="8">
        <v>10</v>
      </c>
      <c r="B11" s="14"/>
      <c r="C11" s="15"/>
      <c r="D11" s="9"/>
      <c r="E11" s="9"/>
      <c r="F11" s="9"/>
      <c r="G11" s="9"/>
      <c r="H11" s="9"/>
      <c r="I11" s="9"/>
      <c r="J11" s="21"/>
      <c r="K11" s="22"/>
      <c r="L11" s="21"/>
      <c r="M11" s="21"/>
      <c r="N11" s="21"/>
      <c r="O11" s="12">
        <f t="shared" si="0"/>
        <v>0</v>
      </c>
      <c r="P11" s="56"/>
      <c r="Q11" s="51" t="str" cm="1">
        <f t="array" ref="Q11">[1]!AIUB_Grade_V3(O11)</f>
        <v>F</v>
      </c>
      <c r="R11" s="10" cm="1">
        <f t="array" ref="R11">[2]!AIUB_MarksNeeded(O11)</f>
        <v>50</v>
      </c>
    </row>
    <row r="12" spans="1:20">
      <c r="A12" s="8">
        <v>11</v>
      </c>
      <c r="B12" s="14"/>
      <c r="C12" s="15"/>
      <c r="D12" s="9"/>
      <c r="E12" s="9"/>
      <c r="F12" s="9"/>
      <c r="G12" s="9"/>
      <c r="H12" s="9"/>
      <c r="I12" s="9"/>
      <c r="J12" s="21"/>
      <c r="K12" s="22"/>
      <c r="L12" s="21"/>
      <c r="M12" s="21"/>
      <c r="N12" s="21"/>
      <c r="O12" s="12">
        <f t="shared" si="0"/>
        <v>0</v>
      </c>
      <c r="P12" s="51"/>
      <c r="Q12" s="51" t="str" cm="1">
        <f t="array" ref="Q12">[1]!AIUB_Grade_V3(O12)</f>
        <v>F</v>
      </c>
      <c r="R12" s="10" cm="1">
        <f t="array" ref="R12">[2]!AIUB_MarksNeeded(O12)</f>
        <v>50</v>
      </c>
    </row>
    <row r="13" spans="1:20">
      <c r="A13" s="8">
        <v>12</v>
      </c>
      <c r="B13" s="14"/>
      <c r="C13" s="15"/>
      <c r="D13" s="9"/>
      <c r="E13" s="9"/>
      <c r="F13" s="9"/>
      <c r="G13" s="9"/>
      <c r="H13" s="9"/>
      <c r="I13" s="9"/>
      <c r="J13" s="21"/>
      <c r="K13" s="22"/>
      <c r="L13" s="21"/>
      <c r="M13" s="21"/>
      <c r="N13" s="21"/>
      <c r="O13" s="12">
        <f t="shared" si="0"/>
        <v>0</v>
      </c>
      <c r="P13" s="55"/>
      <c r="Q13" s="51" t="str" cm="1">
        <f t="array" ref="Q13">[1]!AIUB_Grade_V3(O13)</f>
        <v>F</v>
      </c>
      <c r="R13" s="10" cm="1">
        <f t="array" ref="R13">[2]!AIUB_MarksNeeded(O13)</f>
        <v>50</v>
      </c>
    </row>
    <row r="14" spans="1:20">
      <c r="A14" s="8">
        <v>13</v>
      </c>
      <c r="B14" s="14"/>
      <c r="C14" s="15"/>
      <c r="D14" s="9"/>
      <c r="E14" s="9"/>
      <c r="F14" s="9"/>
      <c r="G14" s="9"/>
      <c r="H14" s="9"/>
      <c r="I14" s="9"/>
      <c r="J14" s="21"/>
      <c r="K14" s="22"/>
      <c r="L14" s="21"/>
      <c r="M14" s="21"/>
      <c r="N14" s="21"/>
      <c r="O14" s="12">
        <f t="shared" si="0"/>
        <v>0</v>
      </c>
      <c r="P14" s="55"/>
      <c r="Q14" s="51" t="str" cm="1">
        <f t="array" ref="Q14">[1]!AIUB_Grade_V3(O14)</f>
        <v>F</v>
      </c>
      <c r="R14" s="10" cm="1">
        <f t="array" ref="R14">[2]!AIUB_MarksNeeded(O14)</f>
        <v>50</v>
      </c>
    </row>
    <row r="15" spans="1:20" ht="15" customHeight="1">
      <c r="A15" s="8">
        <v>14</v>
      </c>
      <c r="B15" s="14"/>
      <c r="C15" s="15"/>
      <c r="D15" s="9"/>
      <c r="E15" s="9"/>
      <c r="F15" s="9"/>
      <c r="G15" s="9"/>
      <c r="H15" s="9"/>
      <c r="I15" s="9"/>
      <c r="J15" s="21"/>
      <c r="K15" s="22"/>
      <c r="L15" s="21"/>
      <c r="M15" s="21"/>
      <c r="N15" s="21"/>
      <c r="O15" s="12">
        <f t="shared" si="0"/>
        <v>0</v>
      </c>
      <c r="P15" s="55"/>
      <c r="Q15" s="51" t="str" cm="1">
        <f t="array" ref="Q15">[1]!AIUB_Grade_V3(O15)</f>
        <v>F</v>
      </c>
      <c r="R15" s="10" cm="1">
        <f t="array" ref="R15">[2]!AIUB_MarksNeeded(O15)</f>
        <v>50</v>
      </c>
    </row>
    <row r="16" spans="1:20">
      <c r="A16" s="8">
        <v>15</v>
      </c>
      <c r="B16" s="14"/>
      <c r="C16" s="15"/>
      <c r="D16" s="9"/>
      <c r="E16" s="9"/>
      <c r="F16" s="9"/>
      <c r="G16" s="9"/>
      <c r="H16" s="9"/>
      <c r="I16" s="9"/>
      <c r="J16" s="21"/>
      <c r="K16" s="22"/>
      <c r="L16" s="21"/>
      <c r="M16" s="21"/>
      <c r="N16" s="21"/>
      <c r="O16" s="12">
        <f t="shared" si="0"/>
        <v>0</v>
      </c>
      <c r="P16" s="55"/>
      <c r="Q16" s="51" t="str" cm="1">
        <f t="array" ref="Q16">[1]!AIUB_Grade_V3(O16)</f>
        <v>F</v>
      </c>
      <c r="R16" s="10" cm="1">
        <f t="array" ref="R16">[2]!AIUB_MarksNeeded(O16)</f>
        <v>50</v>
      </c>
      <c r="T16" s="25"/>
    </row>
    <row r="17" spans="1:18">
      <c r="A17" s="8">
        <v>16</v>
      </c>
      <c r="B17" s="14"/>
      <c r="C17" s="15"/>
      <c r="D17" s="9"/>
      <c r="E17" s="9"/>
      <c r="F17" s="9"/>
      <c r="G17" s="9"/>
      <c r="H17" s="9"/>
      <c r="I17" s="9"/>
      <c r="J17" s="21"/>
      <c r="K17" s="22"/>
      <c r="L17" s="21"/>
      <c r="M17" s="21"/>
      <c r="N17" s="21"/>
      <c r="O17" s="12">
        <f t="shared" si="0"/>
        <v>0</v>
      </c>
      <c r="P17" s="55"/>
      <c r="Q17" s="51" t="str" cm="1">
        <f t="array" ref="Q17">[1]!AIUB_Grade_V3(O17)</f>
        <v>F</v>
      </c>
      <c r="R17" s="10" cm="1">
        <f t="array" ref="R17">[2]!AIUB_MarksNeeded(O17)</f>
        <v>50</v>
      </c>
    </row>
    <row r="18" spans="1:18">
      <c r="A18" s="8">
        <v>17</v>
      </c>
      <c r="B18" s="14"/>
      <c r="C18" s="15"/>
      <c r="D18" s="9"/>
      <c r="E18" s="9"/>
      <c r="F18" s="9"/>
      <c r="G18" s="9"/>
      <c r="H18" s="9"/>
      <c r="I18" s="9"/>
      <c r="J18" s="21"/>
      <c r="K18" s="22"/>
      <c r="L18" s="21"/>
      <c r="M18" s="21"/>
      <c r="N18" s="21"/>
      <c r="O18" s="12">
        <f t="shared" si="0"/>
        <v>0</v>
      </c>
      <c r="P18" s="55"/>
      <c r="Q18" s="51" t="str" cm="1">
        <f t="array" ref="Q18">[1]!AIUB_Grade_V3(O18)</f>
        <v>F</v>
      </c>
      <c r="R18" s="10" cm="1">
        <f t="array" ref="R18">[2]!AIUB_MarksNeeded(O18)</f>
        <v>50</v>
      </c>
    </row>
    <row r="19" spans="1:18">
      <c r="A19" s="8">
        <v>18</v>
      </c>
      <c r="B19" s="14"/>
      <c r="C19" s="15"/>
      <c r="D19" s="9"/>
      <c r="E19" s="9"/>
      <c r="F19" s="9"/>
      <c r="G19" s="9"/>
      <c r="H19" s="9"/>
      <c r="I19" s="9"/>
      <c r="J19" s="21"/>
      <c r="K19" s="22"/>
      <c r="L19" s="21"/>
      <c r="M19" s="21"/>
      <c r="N19" s="21"/>
      <c r="O19" s="12">
        <f t="shared" si="0"/>
        <v>0</v>
      </c>
      <c r="P19" s="56"/>
      <c r="Q19" s="51" t="str" cm="1">
        <f t="array" ref="Q19">[1]!AIUB_Grade_V3(O19)</f>
        <v>F</v>
      </c>
      <c r="R19" s="10" cm="1">
        <f t="array" ref="R19">[2]!AIUB_MarksNeeded(O19)</f>
        <v>50</v>
      </c>
    </row>
    <row r="20" spans="1:18">
      <c r="A20" s="8">
        <v>19</v>
      </c>
      <c r="B20" s="14"/>
      <c r="C20" s="15"/>
      <c r="D20" s="9"/>
      <c r="E20" s="9"/>
      <c r="F20" s="9"/>
      <c r="G20" s="9"/>
      <c r="H20" s="9"/>
      <c r="I20" s="9"/>
      <c r="J20" s="21"/>
      <c r="K20" s="22"/>
      <c r="L20" s="21"/>
      <c r="M20" s="21"/>
      <c r="N20" s="21"/>
      <c r="O20" s="12">
        <f t="shared" si="0"/>
        <v>0</v>
      </c>
      <c r="P20" s="55"/>
      <c r="Q20" s="51" t="str" cm="1">
        <f t="array" ref="Q20">[1]!AIUB_Grade_V3(O20)</f>
        <v>F</v>
      </c>
      <c r="R20" s="10" cm="1">
        <f t="array" ref="R20">[2]!AIUB_MarksNeeded(O20)</f>
        <v>50</v>
      </c>
    </row>
    <row r="21" spans="1:18">
      <c r="A21" s="8">
        <v>20</v>
      </c>
      <c r="B21" s="14"/>
      <c r="C21" s="15"/>
      <c r="D21" s="9"/>
      <c r="E21" s="9"/>
      <c r="F21" s="9"/>
      <c r="G21" s="9"/>
      <c r="H21" s="9"/>
      <c r="I21" s="9"/>
      <c r="J21" s="21"/>
      <c r="K21" s="22"/>
      <c r="L21" s="21"/>
      <c r="M21" s="21"/>
      <c r="N21" s="21"/>
      <c r="O21" s="12">
        <f t="shared" si="0"/>
        <v>0</v>
      </c>
      <c r="P21" s="55"/>
      <c r="Q21" s="51" t="str" cm="1">
        <f t="array" ref="Q21">[1]!AIUB_Grade_V3(O21)</f>
        <v>F</v>
      </c>
      <c r="R21" s="10" cm="1">
        <f t="array" ref="R21">[2]!AIUB_MarksNeeded(O21)</f>
        <v>50</v>
      </c>
    </row>
    <row r="22" spans="1:18">
      <c r="A22" s="8">
        <v>21</v>
      </c>
      <c r="B22" s="14"/>
      <c r="C22" s="15"/>
      <c r="D22" s="9"/>
      <c r="E22" s="9"/>
      <c r="F22" s="9"/>
      <c r="G22" s="9"/>
      <c r="H22" s="9"/>
      <c r="I22" s="9"/>
      <c r="J22" s="21"/>
      <c r="K22" s="22"/>
      <c r="L22" s="21"/>
      <c r="M22" s="21"/>
      <c r="N22" s="21"/>
      <c r="O22" s="12">
        <f t="shared" si="0"/>
        <v>0</v>
      </c>
      <c r="P22" s="55"/>
      <c r="Q22" s="51" t="str" cm="1">
        <f t="array" ref="Q22">[1]!AIUB_Grade_V3(O22)</f>
        <v>F</v>
      </c>
      <c r="R22" s="10" cm="1">
        <f t="array" ref="R22">[2]!AIUB_MarksNeeded(O22)</f>
        <v>50</v>
      </c>
    </row>
    <row r="23" spans="1:18">
      <c r="A23" s="8">
        <v>22</v>
      </c>
      <c r="B23" s="14"/>
      <c r="C23" s="15"/>
      <c r="D23" s="9"/>
      <c r="E23" s="9"/>
      <c r="F23" s="9"/>
      <c r="G23" s="9"/>
      <c r="H23" s="9"/>
      <c r="I23" s="9"/>
      <c r="J23" s="21"/>
      <c r="K23" s="22"/>
      <c r="L23" s="21"/>
      <c r="M23" s="21"/>
      <c r="N23" s="21"/>
      <c r="O23" s="12">
        <f t="shared" si="0"/>
        <v>0</v>
      </c>
      <c r="P23" s="55"/>
      <c r="Q23" s="51" t="str" cm="1">
        <f t="array" ref="Q23">[1]!AIUB_Grade_V3(O23)</f>
        <v>F</v>
      </c>
      <c r="R23" s="10" cm="1">
        <f t="array" ref="R23">[2]!AIUB_MarksNeeded(O23)</f>
        <v>50</v>
      </c>
    </row>
    <row r="24" spans="1:18">
      <c r="A24" s="8">
        <v>23</v>
      </c>
      <c r="B24" s="14"/>
      <c r="C24" s="15"/>
      <c r="D24" s="9"/>
      <c r="E24" s="9"/>
      <c r="F24" s="9"/>
      <c r="G24" s="9"/>
      <c r="H24" s="9"/>
      <c r="I24" s="9"/>
      <c r="J24" s="21"/>
      <c r="K24" s="22"/>
      <c r="L24" s="21"/>
      <c r="M24" s="21"/>
      <c r="N24" s="21"/>
      <c r="O24" s="12">
        <f t="shared" si="0"/>
        <v>0</v>
      </c>
      <c r="P24" s="55"/>
      <c r="Q24" s="51" t="str" cm="1">
        <f t="array" ref="Q24">[1]!AIUB_Grade_V3(O24)</f>
        <v>F</v>
      </c>
      <c r="R24" s="10" cm="1">
        <f t="array" ref="R24">[2]!AIUB_MarksNeeded(O24)</f>
        <v>50</v>
      </c>
    </row>
    <row r="25" spans="1:18">
      <c r="A25" s="8">
        <v>24</v>
      </c>
      <c r="B25" s="14"/>
      <c r="C25" s="15"/>
      <c r="D25" s="9"/>
      <c r="E25" s="9"/>
      <c r="F25" s="9"/>
      <c r="G25" s="9"/>
      <c r="H25" s="9"/>
      <c r="I25" s="9"/>
      <c r="J25" s="21"/>
      <c r="K25" s="22"/>
      <c r="L25" s="21"/>
      <c r="M25" s="21"/>
      <c r="N25" s="21"/>
      <c r="O25" s="12">
        <f t="shared" si="0"/>
        <v>0</v>
      </c>
      <c r="P25" s="55"/>
      <c r="Q25" s="51" t="str" cm="1">
        <f t="array" ref="Q25">[1]!AIUB_Grade_V3(O25)</f>
        <v>F</v>
      </c>
      <c r="R25" s="10" cm="1">
        <f t="array" ref="R25">[2]!AIUB_MarksNeeded(O25)</f>
        <v>50</v>
      </c>
    </row>
    <row r="26" spans="1:18">
      <c r="A26" s="8">
        <v>25</v>
      </c>
      <c r="B26" s="14"/>
      <c r="C26" s="15"/>
      <c r="D26" s="9"/>
      <c r="E26" s="9"/>
      <c r="F26" s="9"/>
      <c r="G26" s="9"/>
      <c r="H26" s="9"/>
      <c r="I26" s="9"/>
      <c r="J26" s="21"/>
      <c r="K26" s="22"/>
      <c r="L26" s="21"/>
      <c r="M26" s="21"/>
      <c r="N26" s="21"/>
      <c r="O26" s="12">
        <f t="shared" si="0"/>
        <v>0</v>
      </c>
      <c r="P26" s="55"/>
      <c r="Q26" s="51" t="str" cm="1">
        <f t="array" ref="Q26">[1]!AIUB_Grade_V3(O26)</f>
        <v>F</v>
      </c>
      <c r="R26" s="10" cm="1">
        <f t="array" ref="R26">[2]!AIUB_MarksNeeded(O26)</f>
        <v>50</v>
      </c>
    </row>
    <row r="27" spans="1:18">
      <c r="A27" s="8">
        <v>26</v>
      </c>
      <c r="B27" s="14"/>
      <c r="C27" s="15"/>
      <c r="D27" s="9"/>
      <c r="E27" s="9"/>
      <c r="F27" s="9"/>
      <c r="G27" s="9"/>
      <c r="H27" s="9"/>
      <c r="I27" s="9"/>
      <c r="J27" s="21"/>
      <c r="K27" s="22"/>
      <c r="L27" s="21"/>
      <c r="M27" s="21"/>
      <c r="N27" s="21"/>
      <c r="O27" s="12">
        <f t="shared" si="0"/>
        <v>0</v>
      </c>
      <c r="P27" s="55"/>
      <c r="Q27" s="51" t="str" cm="1">
        <f t="array" ref="Q27">[1]!AIUB_Grade_V3(O27)</f>
        <v>F</v>
      </c>
      <c r="R27" s="10" cm="1">
        <f t="array" ref="R27">[2]!AIUB_MarksNeeded(O27)</f>
        <v>50</v>
      </c>
    </row>
    <row r="28" spans="1:18">
      <c r="A28" s="8">
        <v>27</v>
      </c>
      <c r="B28" s="14"/>
      <c r="C28" s="15"/>
      <c r="D28" s="9"/>
      <c r="E28" s="9"/>
      <c r="F28" s="9"/>
      <c r="G28" s="9"/>
      <c r="H28" s="9"/>
      <c r="I28" s="9"/>
      <c r="J28" s="21"/>
      <c r="K28" s="22"/>
      <c r="L28" s="21"/>
      <c r="M28" s="21"/>
      <c r="N28" s="21"/>
      <c r="O28" s="12">
        <f t="shared" si="0"/>
        <v>0</v>
      </c>
      <c r="P28" s="56"/>
      <c r="Q28" s="51" t="str" cm="1">
        <f t="array" ref="Q28">[1]!AIUB_Grade_V3(O28)</f>
        <v>F</v>
      </c>
      <c r="R28" s="10" cm="1">
        <f t="array" ref="R28">[2]!AIUB_MarksNeeded(O28)</f>
        <v>50</v>
      </c>
    </row>
    <row r="29" spans="1:18">
      <c r="A29" s="8">
        <v>28</v>
      </c>
      <c r="B29" s="14"/>
      <c r="C29" s="15"/>
      <c r="D29" s="9"/>
      <c r="E29" s="9"/>
      <c r="F29" s="9"/>
      <c r="G29" s="9"/>
      <c r="H29" s="9"/>
      <c r="I29" s="9"/>
      <c r="J29" s="21"/>
      <c r="K29" s="22"/>
      <c r="L29" s="21"/>
      <c r="M29" s="21"/>
      <c r="N29" s="21"/>
      <c r="O29" s="12">
        <f t="shared" si="0"/>
        <v>0</v>
      </c>
      <c r="P29" s="55"/>
      <c r="Q29" s="51" t="str" cm="1">
        <f t="array" ref="Q29">[1]!AIUB_Grade_V3(O29)</f>
        <v>F</v>
      </c>
      <c r="R29" s="10" cm="1">
        <f t="array" ref="R29">[2]!AIUB_MarksNeeded(O29)</f>
        <v>50</v>
      </c>
    </row>
    <row r="30" spans="1:18">
      <c r="A30" s="8">
        <v>29</v>
      </c>
      <c r="B30" s="14"/>
      <c r="C30" s="15"/>
      <c r="D30" s="9"/>
      <c r="E30" s="9"/>
      <c r="F30" s="9"/>
      <c r="G30" s="9"/>
      <c r="H30" s="9"/>
      <c r="I30" s="9"/>
      <c r="J30" s="21"/>
      <c r="K30" s="22"/>
      <c r="L30" s="21"/>
      <c r="M30" s="21"/>
      <c r="N30" s="21"/>
      <c r="O30" s="12">
        <f t="shared" si="0"/>
        <v>0</v>
      </c>
      <c r="P30" s="55"/>
      <c r="Q30" s="51" t="str" cm="1">
        <f t="array" ref="Q30">[1]!AIUB_Grade_V3(O30)</f>
        <v>F</v>
      </c>
      <c r="R30" s="10" cm="1">
        <f t="array" ref="R30">[2]!AIUB_MarksNeeded(O30)</f>
        <v>50</v>
      </c>
    </row>
    <row r="31" spans="1:18">
      <c r="A31" s="8">
        <v>30</v>
      </c>
      <c r="B31" s="14"/>
      <c r="C31" s="15"/>
      <c r="D31" s="9"/>
      <c r="E31" s="9"/>
      <c r="F31" s="9"/>
      <c r="G31" s="9"/>
      <c r="H31" s="9"/>
      <c r="I31" s="9"/>
      <c r="J31" s="21"/>
      <c r="K31" s="22"/>
      <c r="L31" s="21"/>
      <c r="M31" s="21"/>
      <c r="N31" s="21"/>
      <c r="O31" s="12">
        <f t="shared" si="0"/>
        <v>0</v>
      </c>
      <c r="P31" s="55"/>
      <c r="Q31" s="51" t="str" cm="1">
        <f t="array" ref="Q31">[1]!AIUB_Grade_V3(O31)</f>
        <v>F</v>
      </c>
      <c r="R31" s="10" cm="1">
        <f t="array" ref="R31">[2]!AIUB_MarksNeeded(O31)</f>
        <v>50</v>
      </c>
    </row>
    <row r="32" spans="1:18">
      <c r="A32" s="8">
        <v>31</v>
      </c>
      <c r="B32" s="14"/>
      <c r="C32" s="15"/>
      <c r="D32" s="9"/>
      <c r="E32" s="9"/>
      <c r="F32" s="9"/>
      <c r="G32" s="9"/>
      <c r="H32" s="9"/>
      <c r="I32" s="9"/>
      <c r="J32" s="21"/>
      <c r="K32" s="22"/>
      <c r="L32" s="21"/>
      <c r="M32" s="21"/>
      <c r="N32" s="21"/>
      <c r="O32" s="12">
        <f t="shared" si="0"/>
        <v>0</v>
      </c>
      <c r="P32" s="56"/>
      <c r="Q32" s="51" t="str" cm="1">
        <f t="array" ref="Q32">[1]!AIUB_Grade_V3(O32)</f>
        <v>F</v>
      </c>
      <c r="R32" s="10" cm="1">
        <f t="array" ref="R32">[2]!AIUB_MarksNeeded(O32)</f>
        <v>50</v>
      </c>
    </row>
    <row r="33" spans="1:18">
      <c r="A33" s="8">
        <v>32</v>
      </c>
      <c r="B33" s="14"/>
      <c r="C33" s="15"/>
      <c r="D33" s="9"/>
      <c r="E33" s="9"/>
      <c r="F33" s="9"/>
      <c r="G33" s="9"/>
      <c r="H33" s="9"/>
      <c r="I33" s="9"/>
      <c r="J33" s="21"/>
      <c r="K33" s="22"/>
      <c r="L33" s="21"/>
      <c r="M33" s="21"/>
      <c r="N33" s="21"/>
      <c r="O33" s="12">
        <f t="shared" si="0"/>
        <v>0</v>
      </c>
      <c r="P33" s="56"/>
      <c r="Q33" s="51" t="str" cm="1">
        <f t="array" ref="Q33">[1]!AIUB_Grade_V3(O33)</f>
        <v>F</v>
      </c>
      <c r="R33" s="10" cm="1">
        <f t="array" ref="R33">[2]!AIUB_MarksNeeded(O33)</f>
        <v>50</v>
      </c>
    </row>
    <row r="34" spans="1:18">
      <c r="A34" s="8">
        <v>33</v>
      </c>
      <c r="B34" s="14"/>
      <c r="C34" s="15"/>
      <c r="D34" s="9"/>
      <c r="E34" s="9"/>
      <c r="F34" s="9"/>
      <c r="G34" s="9"/>
      <c r="H34" s="9"/>
      <c r="I34" s="9"/>
      <c r="J34" s="21"/>
      <c r="K34" s="22"/>
      <c r="L34" s="21"/>
      <c r="M34" s="21"/>
      <c r="N34" s="21"/>
      <c r="O34" s="12">
        <f t="shared" si="0"/>
        <v>0</v>
      </c>
      <c r="P34" s="55"/>
      <c r="Q34" s="51" t="str" cm="1">
        <f t="array" ref="Q34">[1]!AIUB_Grade_V3(O34)</f>
        <v>F</v>
      </c>
      <c r="R34" s="10" cm="1">
        <f t="array" ref="R34">[2]!AIUB_MarksNeeded(O34)</f>
        <v>50</v>
      </c>
    </row>
    <row r="35" spans="1:18">
      <c r="A35" s="8">
        <v>34</v>
      </c>
      <c r="B35" s="14"/>
      <c r="C35" s="15"/>
      <c r="D35" s="9"/>
      <c r="E35" s="9"/>
      <c r="F35" s="9"/>
      <c r="G35" s="9"/>
      <c r="H35" s="9"/>
      <c r="I35" s="9"/>
      <c r="J35" s="21"/>
      <c r="K35" s="22"/>
      <c r="L35" s="21"/>
      <c r="M35" s="21"/>
      <c r="N35" s="21"/>
      <c r="O35" s="12">
        <f t="shared" si="0"/>
        <v>0</v>
      </c>
      <c r="P35" s="55"/>
      <c r="Q35" s="51" t="str" cm="1">
        <f t="array" ref="Q35">[1]!AIUB_Grade_V3(O35)</f>
        <v>F</v>
      </c>
      <c r="R35" s="10" cm="1">
        <f t="array" ref="R35">[2]!AIUB_MarksNeeded(O35)</f>
        <v>50</v>
      </c>
    </row>
    <row r="36" spans="1:18">
      <c r="A36" s="8">
        <v>35</v>
      </c>
      <c r="B36" s="14"/>
      <c r="C36" s="15"/>
      <c r="D36" s="9"/>
      <c r="E36" s="9"/>
      <c r="F36" s="9"/>
      <c r="G36" s="9"/>
      <c r="H36" s="9"/>
      <c r="I36" s="9"/>
      <c r="J36" s="21"/>
      <c r="K36" s="22"/>
      <c r="L36" s="21"/>
      <c r="M36" s="21"/>
      <c r="N36" s="21"/>
      <c r="O36" s="12">
        <f t="shared" si="0"/>
        <v>0</v>
      </c>
      <c r="P36" s="55"/>
      <c r="Q36" s="51" t="str" cm="1">
        <f t="array" ref="Q36">[1]!AIUB_Grade_V3(O36)</f>
        <v>F</v>
      </c>
      <c r="R36" s="10" cm="1">
        <f t="array" ref="R36">[2]!AIUB_MarksNeeded(O36)</f>
        <v>50</v>
      </c>
    </row>
    <row r="37" spans="1:18">
      <c r="A37" s="8">
        <v>36</v>
      </c>
      <c r="B37" s="14"/>
      <c r="C37" s="15"/>
      <c r="D37" s="9"/>
      <c r="E37" s="9"/>
      <c r="F37" s="9"/>
      <c r="G37" s="9"/>
      <c r="H37" s="9"/>
      <c r="I37" s="9"/>
      <c r="J37" s="21"/>
      <c r="K37" s="22"/>
      <c r="L37" s="21"/>
      <c r="M37" s="21"/>
      <c r="N37" s="21"/>
      <c r="O37" s="12">
        <f t="shared" si="0"/>
        <v>0</v>
      </c>
      <c r="P37" s="55"/>
      <c r="Q37" s="51" t="str" cm="1">
        <f t="array" ref="Q37">[1]!AIUB_Grade_V3(O37)</f>
        <v>F</v>
      </c>
      <c r="R37" s="10" cm="1">
        <f t="array" ref="R37">[2]!AIUB_MarksNeeded(O37)</f>
        <v>50</v>
      </c>
    </row>
    <row r="38" spans="1:18">
      <c r="A38" s="8">
        <v>37</v>
      </c>
      <c r="B38" s="14"/>
      <c r="C38" s="15"/>
      <c r="D38" s="9"/>
      <c r="E38" s="9"/>
      <c r="F38" s="9"/>
      <c r="G38" s="9"/>
      <c r="H38" s="9"/>
      <c r="I38" s="9"/>
      <c r="J38" s="21"/>
      <c r="K38" s="22"/>
      <c r="L38" s="21"/>
      <c r="M38" s="21"/>
      <c r="N38" s="21"/>
      <c r="O38" s="12">
        <f t="shared" si="0"/>
        <v>0</v>
      </c>
      <c r="P38" s="56"/>
      <c r="Q38" s="51" t="str" cm="1">
        <f t="array" ref="Q38">[1]!AIUB_Grade_V3(O38)</f>
        <v>F</v>
      </c>
      <c r="R38" s="10" cm="1">
        <f t="array" ref="R38">[2]!AIUB_MarksNeeded(O38)</f>
        <v>50</v>
      </c>
    </row>
    <row r="39" spans="1:18">
      <c r="A39" s="8">
        <v>38</v>
      </c>
      <c r="B39" s="14"/>
      <c r="C39" s="15"/>
      <c r="D39" s="9"/>
      <c r="E39" s="9"/>
      <c r="F39" s="9"/>
      <c r="G39" s="9"/>
      <c r="H39" s="9"/>
      <c r="I39" s="9"/>
      <c r="J39" s="21"/>
      <c r="K39" s="22"/>
      <c r="L39" s="21"/>
      <c r="M39" s="21"/>
      <c r="N39" s="21"/>
      <c r="O39" s="12">
        <f t="shared" si="0"/>
        <v>0</v>
      </c>
      <c r="P39" s="55"/>
      <c r="Q39" s="51" t="str" cm="1">
        <f t="array" ref="Q39">[1]!AIUB_Grade_V3(O39)</f>
        <v>F</v>
      </c>
      <c r="R39" s="10" cm="1">
        <f t="array" ref="R39">[2]!AIUB_MarksNeeded(O39)</f>
        <v>50</v>
      </c>
    </row>
    <row r="40" spans="1:18">
      <c r="A40" s="8">
        <v>39</v>
      </c>
      <c r="B40" s="14"/>
      <c r="C40" s="15"/>
      <c r="D40" s="9"/>
      <c r="E40" s="9"/>
      <c r="F40" s="9"/>
      <c r="G40" s="9"/>
      <c r="H40" s="9"/>
      <c r="I40" s="9"/>
      <c r="J40" s="21"/>
      <c r="K40" s="22"/>
      <c r="L40" s="21"/>
      <c r="M40" s="21"/>
      <c r="N40" s="21"/>
      <c r="O40" s="12">
        <f t="shared" si="0"/>
        <v>0</v>
      </c>
      <c r="P40" s="55"/>
      <c r="Q40" s="51" t="str" cm="1">
        <f t="array" ref="Q40">[1]!AIUB_Grade_V3(O40)</f>
        <v>F</v>
      </c>
      <c r="R40" s="10" cm="1">
        <f t="array" ref="R40">[2]!AIUB_MarksNeeded(O40)</f>
        <v>50</v>
      </c>
    </row>
    <row r="41" spans="1:18">
      <c r="A41" s="8">
        <v>40</v>
      </c>
      <c r="B41" s="14"/>
      <c r="C41" s="15"/>
      <c r="D41" s="9"/>
      <c r="E41" s="9"/>
      <c r="F41" s="9"/>
      <c r="G41" s="9"/>
      <c r="H41" s="9"/>
      <c r="I41" s="9"/>
      <c r="J41" s="21"/>
      <c r="K41" s="22"/>
      <c r="L41" s="21"/>
      <c r="M41" s="21"/>
      <c r="N41" s="21"/>
      <c r="O41" s="12">
        <f t="shared" si="0"/>
        <v>0</v>
      </c>
      <c r="P41" s="51"/>
      <c r="Q41" s="51" t="str" cm="1">
        <f t="array" ref="Q41">[1]!AIUB_Grade_V3(O41)</f>
        <v>F</v>
      </c>
      <c r="R41" s="10" cm="1">
        <f t="array" ref="R41">[2]!AIUB_MarksNeeded(O41)</f>
        <v>50</v>
      </c>
    </row>
  </sheetData>
  <conditionalFormatting sqref="D2:I41">
    <cfRule type="containsText" dxfId="19" priority="1" operator="containsText" text="A">
      <formula>NOT(ISERROR(SEARCH("A",D2)))</formula>
    </cfRule>
    <cfRule type="containsText" dxfId="18" priority="2" operator="containsText" text="P">
      <formula>NOT(ISERROR(SEARCH("P",D2)))</formula>
    </cfRule>
    <cfRule type="containsText" dxfId="17" priority="3" operator="containsText" text="A">
      <formula>NOT(ISERROR(SEARCH("A",D2)))</formula>
    </cfRule>
    <cfRule type="containsText" dxfId="16" priority="4" operator="containsText" text="P">
      <formula>NOT(ISERROR(SEARCH("P",D2)))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FACE-3A01-4CB3-A526-834FE83798DC}">
  <sheetPr codeName="Sheet3"/>
  <dimension ref="A1:U41"/>
  <sheetViews>
    <sheetView zoomScale="88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35" sqref="G35"/>
    </sheetView>
  </sheetViews>
  <sheetFormatPr defaultRowHeight="14.4"/>
  <cols>
    <col min="2" max="2" width="11.44140625" bestFit="1" customWidth="1"/>
    <col min="3" max="3" width="34.6640625" bestFit="1" customWidth="1"/>
    <col min="4" max="4" width="9.44140625" customWidth="1"/>
    <col min="5" max="5" width="9.109375" bestFit="1" customWidth="1"/>
    <col min="6" max="6" width="10.109375" bestFit="1" customWidth="1"/>
    <col min="7" max="7" width="8.88671875" bestFit="1" customWidth="1"/>
    <col min="8" max="8" width="12.44140625" bestFit="1" customWidth="1"/>
    <col min="13" max="13" width="8" customWidth="1"/>
    <col min="14" max="14" width="14.44140625" customWidth="1"/>
    <col min="15" max="15" width="1.6640625" customWidth="1"/>
    <col min="16" max="16" width="11.5546875" customWidth="1"/>
    <col min="17" max="17" width="16.44140625" customWidth="1"/>
    <col min="18" max="18" width="13.88671875" customWidth="1"/>
    <col min="19" max="19" width="11.88671875" customWidth="1"/>
    <col min="20" max="20" width="13.6640625" customWidth="1"/>
    <col min="21" max="21" width="8.88671875" style="57"/>
  </cols>
  <sheetData>
    <row r="1" spans="1:20" ht="36" customHeight="1">
      <c r="A1" s="1" t="s">
        <v>0</v>
      </c>
      <c r="B1" s="1" t="s">
        <v>1</v>
      </c>
      <c r="C1" s="1" t="s">
        <v>2</v>
      </c>
      <c r="D1" s="2" t="s">
        <v>58</v>
      </c>
      <c r="E1" s="2" t="s">
        <v>59</v>
      </c>
      <c r="F1" s="2" t="s">
        <v>60</v>
      </c>
      <c r="G1" s="2" t="s">
        <v>61</v>
      </c>
      <c r="H1" s="4" t="s">
        <v>19</v>
      </c>
      <c r="I1" s="4" t="s">
        <v>3</v>
      </c>
      <c r="J1" s="4" t="s">
        <v>23</v>
      </c>
      <c r="K1" s="4" t="s">
        <v>4</v>
      </c>
      <c r="L1" s="3" t="s">
        <v>13</v>
      </c>
      <c r="M1" s="4" t="s">
        <v>24</v>
      </c>
      <c r="N1" s="4" t="s">
        <v>6</v>
      </c>
      <c r="O1" s="11"/>
      <c r="P1" s="4" t="s">
        <v>14</v>
      </c>
      <c r="Q1" s="4" t="s">
        <v>15</v>
      </c>
      <c r="R1" s="4" t="s">
        <v>16</v>
      </c>
      <c r="S1" s="29" t="s">
        <v>38</v>
      </c>
      <c r="T1" s="29" t="s">
        <v>39</v>
      </c>
    </row>
    <row r="2" spans="1:20">
      <c r="A2" s="8">
        <v>1</v>
      </c>
      <c r="B2" s="14"/>
      <c r="C2" s="15"/>
      <c r="D2" s="9" t="s">
        <v>12</v>
      </c>
      <c r="E2" s="9" t="s">
        <v>28</v>
      </c>
      <c r="F2" s="9"/>
      <c r="G2" s="9"/>
      <c r="H2" s="21"/>
      <c r="I2" s="21"/>
      <c r="J2" s="21"/>
      <c r="K2" s="21"/>
      <c r="L2" s="12">
        <f>SUM(H2:K2)</f>
        <v>0</v>
      </c>
      <c r="M2" s="51"/>
      <c r="N2" s="10" t="str">
        <f>[1]!AIUB_Grade_V3(L2)</f>
        <v>F</v>
      </c>
      <c r="O2" s="11"/>
      <c r="P2" s="55"/>
      <c r="Q2" s="55">
        <f t="shared" ref="Q2:Q41" si="0">((P2*0.4)+(L2*0.6))</f>
        <v>0</v>
      </c>
      <c r="R2" s="55" t="str">
        <f>[1]!AIUB_Grade_V3(Q2)</f>
        <v>F</v>
      </c>
      <c r="S2" s="57" cm="1">
        <f t="array" ref="S2">[2]!AIUB_MarksNeeded(L2)</f>
        <v>50</v>
      </c>
      <c r="T2" s="57" cm="1">
        <f t="array" ref="T2">[2]!AIUB_MarksNeeded(Q2)</f>
        <v>50</v>
      </c>
    </row>
    <row r="3" spans="1:20">
      <c r="A3" s="8">
        <v>2</v>
      </c>
      <c r="B3" s="14"/>
      <c r="C3" s="15"/>
      <c r="D3" s="9"/>
      <c r="E3" s="9"/>
      <c r="F3" s="9"/>
      <c r="G3" s="9"/>
      <c r="H3" s="21"/>
      <c r="I3" s="21"/>
      <c r="J3" s="21"/>
      <c r="K3" s="21"/>
      <c r="L3" s="12">
        <f t="shared" ref="L3:L41" si="1">SUM(H3:K3)</f>
        <v>0</v>
      </c>
      <c r="M3" s="54"/>
      <c r="N3" s="10" t="str">
        <f>[1]!AIUB_Grade_V3(L3)</f>
        <v>F</v>
      </c>
      <c r="O3" s="11"/>
      <c r="P3" s="55"/>
      <c r="Q3" s="55">
        <f t="shared" si="0"/>
        <v>0</v>
      </c>
      <c r="R3" s="55" t="str">
        <f>[1]!AIUB_Grade_V3(Q3)</f>
        <v>F</v>
      </c>
      <c r="S3" s="57" cm="1">
        <f t="array" ref="S3">[2]!AIUB_MarksNeeded(L3)</f>
        <v>50</v>
      </c>
      <c r="T3" s="57" cm="1">
        <f t="array" ref="T3">[2]!AIUB_MarksNeeded(Q3)</f>
        <v>50</v>
      </c>
    </row>
    <row r="4" spans="1:20">
      <c r="A4" s="8">
        <v>3</v>
      </c>
      <c r="B4" s="14"/>
      <c r="C4" s="15"/>
      <c r="D4" s="9"/>
      <c r="E4" s="9"/>
      <c r="F4" s="9"/>
      <c r="G4" s="9"/>
      <c r="H4" s="21"/>
      <c r="I4" s="21"/>
      <c r="J4" s="21"/>
      <c r="K4" s="21"/>
      <c r="L4" s="12">
        <f t="shared" si="1"/>
        <v>0</v>
      </c>
      <c r="M4" s="55"/>
      <c r="N4" s="10" t="str">
        <f>[1]!AIUB_Grade_V3(L4)</f>
        <v>F</v>
      </c>
      <c r="O4" s="11"/>
      <c r="P4" s="55"/>
      <c r="Q4" s="55">
        <f t="shared" si="0"/>
        <v>0</v>
      </c>
      <c r="R4" s="55" t="str">
        <f>[1]!AIUB_Grade_V3(Q4)</f>
        <v>F</v>
      </c>
      <c r="S4" s="57" cm="1">
        <f t="array" ref="S4">[2]!AIUB_MarksNeeded(L4)</f>
        <v>50</v>
      </c>
      <c r="T4" s="57" cm="1">
        <f t="array" ref="T4">[2]!AIUB_MarksNeeded(Q4)</f>
        <v>50</v>
      </c>
    </row>
    <row r="5" spans="1:20">
      <c r="A5" s="8">
        <v>4</v>
      </c>
      <c r="B5" s="14"/>
      <c r="C5" s="15"/>
      <c r="D5" s="9"/>
      <c r="E5" s="9"/>
      <c r="F5" s="9"/>
      <c r="G5" s="9"/>
      <c r="H5" s="21"/>
      <c r="I5" s="21"/>
      <c r="J5" s="21"/>
      <c r="K5" s="21"/>
      <c r="L5" s="12">
        <f t="shared" si="1"/>
        <v>0</v>
      </c>
      <c r="M5" s="55"/>
      <c r="N5" s="10" t="str">
        <f>[1]!AIUB_Grade_V3(L5)</f>
        <v>F</v>
      </c>
      <c r="O5" s="11"/>
      <c r="P5" s="55"/>
      <c r="Q5" s="55">
        <f t="shared" si="0"/>
        <v>0</v>
      </c>
      <c r="R5" s="55" t="str">
        <f>[1]!AIUB_Grade_V3(Q5)</f>
        <v>F</v>
      </c>
      <c r="S5" s="57" cm="1">
        <f t="array" ref="S5">[2]!AIUB_MarksNeeded(L5)</f>
        <v>50</v>
      </c>
      <c r="T5" s="57" cm="1">
        <f t="array" ref="T5">[2]!AIUB_MarksNeeded(Q5)</f>
        <v>50</v>
      </c>
    </row>
    <row r="6" spans="1:20">
      <c r="A6" s="8">
        <v>5</v>
      </c>
      <c r="B6" s="14"/>
      <c r="C6" s="15"/>
      <c r="D6" s="9"/>
      <c r="E6" s="9"/>
      <c r="F6" s="9"/>
      <c r="G6" s="9"/>
      <c r="H6" s="21"/>
      <c r="I6" s="21"/>
      <c r="J6" s="21"/>
      <c r="K6" s="21"/>
      <c r="L6" s="12">
        <f t="shared" si="1"/>
        <v>0</v>
      </c>
      <c r="M6" s="55"/>
      <c r="N6" s="10" t="str">
        <f>[1]!AIUB_Grade_V3(L6)</f>
        <v>F</v>
      </c>
      <c r="O6" s="11"/>
      <c r="P6" s="55"/>
      <c r="Q6" s="55">
        <f t="shared" si="0"/>
        <v>0</v>
      </c>
      <c r="R6" s="55" t="str">
        <f>[1]!AIUB_Grade_V3(Q6)</f>
        <v>F</v>
      </c>
      <c r="S6" s="57" cm="1">
        <f t="array" ref="S6">[2]!AIUB_MarksNeeded(L6)</f>
        <v>50</v>
      </c>
      <c r="T6" s="57" cm="1">
        <f t="array" ref="T6">[2]!AIUB_MarksNeeded(Q6)</f>
        <v>50</v>
      </c>
    </row>
    <row r="7" spans="1:20">
      <c r="A7" s="8">
        <v>6</v>
      </c>
      <c r="B7" s="14"/>
      <c r="C7" s="15"/>
      <c r="D7" s="9"/>
      <c r="E7" s="9"/>
      <c r="F7" s="9"/>
      <c r="G7" s="9"/>
      <c r="H7" s="21"/>
      <c r="I7" s="21"/>
      <c r="J7" s="21"/>
      <c r="K7" s="21"/>
      <c r="L7" s="12">
        <f t="shared" si="1"/>
        <v>0</v>
      </c>
      <c r="M7" s="55"/>
      <c r="N7" s="10" t="str">
        <f>[1]!AIUB_Grade_V3(L7)</f>
        <v>F</v>
      </c>
      <c r="O7" s="11"/>
      <c r="P7" s="55"/>
      <c r="Q7" s="55">
        <f t="shared" si="0"/>
        <v>0</v>
      </c>
      <c r="R7" s="55" t="str">
        <f>[1]!AIUB_Grade_V3(Q7)</f>
        <v>F</v>
      </c>
      <c r="S7" s="57" cm="1">
        <f t="array" ref="S7">[2]!AIUB_MarksNeeded(L7)</f>
        <v>50</v>
      </c>
      <c r="T7" s="57" cm="1">
        <f t="array" ref="T7">[2]!AIUB_MarksNeeded(Q7)</f>
        <v>50</v>
      </c>
    </row>
    <row r="8" spans="1:20">
      <c r="A8" s="8">
        <v>7</v>
      </c>
      <c r="B8" s="14"/>
      <c r="C8" s="15"/>
      <c r="D8" s="9"/>
      <c r="E8" s="9"/>
      <c r="F8" s="9"/>
      <c r="G8" s="9"/>
      <c r="H8" s="21"/>
      <c r="I8" s="21"/>
      <c r="J8" s="21"/>
      <c r="K8" s="21"/>
      <c r="L8" s="12">
        <f t="shared" si="1"/>
        <v>0</v>
      </c>
      <c r="M8" s="55"/>
      <c r="N8" s="10" t="str">
        <f>[1]!AIUB_Grade_V3(L8)</f>
        <v>F</v>
      </c>
      <c r="O8" s="11"/>
      <c r="P8" s="55"/>
      <c r="Q8" s="55">
        <f t="shared" si="0"/>
        <v>0</v>
      </c>
      <c r="R8" s="55" t="str">
        <f>[1]!AIUB_Grade_V3(Q8)</f>
        <v>F</v>
      </c>
      <c r="S8" s="57" cm="1">
        <f t="array" ref="S8">[2]!AIUB_MarksNeeded(L8)</f>
        <v>50</v>
      </c>
      <c r="T8" s="57" cm="1">
        <f t="array" ref="T8">[2]!AIUB_MarksNeeded(Q8)</f>
        <v>50</v>
      </c>
    </row>
    <row r="9" spans="1:20">
      <c r="A9" s="8">
        <v>8</v>
      </c>
      <c r="B9" s="14"/>
      <c r="C9" s="15"/>
      <c r="D9" s="9"/>
      <c r="E9" s="9"/>
      <c r="F9" s="9"/>
      <c r="G9" s="9"/>
      <c r="H9" s="21"/>
      <c r="I9" s="21"/>
      <c r="J9" s="21"/>
      <c r="K9" s="21"/>
      <c r="L9" s="12">
        <f t="shared" si="1"/>
        <v>0</v>
      </c>
      <c r="M9" s="55"/>
      <c r="N9" s="10" t="str">
        <f>[1]!AIUB_Grade_V3(L9)</f>
        <v>F</v>
      </c>
      <c r="O9" s="11"/>
      <c r="P9" s="55"/>
      <c r="Q9" s="55">
        <f t="shared" si="0"/>
        <v>0</v>
      </c>
      <c r="R9" s="55" t="str">
        <f>[1]!AIUB_Grade_V3(Q9)</f>
        <v>F</v>
      </c>
      <c r="S9" s="57" cm="1">
        <f t="array" ref="S9">[2]!AIUB_MarksNeeded(L9)</f>
        <v>50</v>
      </c>
      <c r="T9" s="57" cm="1">
        <f t="array" ref="T9">[2]!AIUB_MarksNeeded(Q9)</f>
        <v>50</v>
      </c>
    </row>
    <row r="10" spans="1:20">
      <c r="A10" s="8">
        <v>9</v>
      </c>
      <c r="B10" s="14"/>
      <c r="C10" s="15"/>
      <c r="D10" s="9"/>
      <c r="E10" s="9"/>
      <c r="F10" s="9"/>
      <c r="G10" s="9"/>
      <c r="H10" s="21"/>
      <c r="I10" s="21"/>
      <c r="J10" s="21"/>
      <c r="K10" s="21"/>
      <c r="L10" s="12">
        <f t="shared" si="1"/>
        <v>0</v>
      </c>
      <c r="M10" s="55"/>
      <c r="N10" s="10" t="str">
        <f>[1]!AIUB_Grade_V3(L10)</f>
        <v>F</v>
      </c>
      <c r="O10" s="11"/>
      <c r="P10" s="55"/>
      <c r="Q10" s="55">
        <f t="shared" si="0"/>
        <v>0</v>
      </c>
      <c r="R10" s="55" t="str">
        <f>[1]!AIUB_Grade_V3(Q10)</f>
        <v>F</v>
      </c>
      <c r="S10" s="57" cm="1">
        <f t="array" ref="S10">[2]!AIUB_MarksNeeded(L10)</f>
        <v>50</v>
      </c>
      <c r="T10" s="57" cm="1">
        <f t="array" ref="T10">[2]!AIUB_MarksNeeded(Q10)</f>
        <v>50</v>
      </c>
    </row>
    <row r="11" spans="1:20">
      <c r="A11" s="8">
        <v>10</v>
      </c>
      <c r="B11" s="14"/>
      <c r="C11" s="15"/>
      <c r="D11" s="9"/>
      <c r="E11" s="9"/>
      <c r="F11" s="9"/>
      <c r="G11" s="9"/>
      <c r="H11" s="21"/>
      <c r="I11" s="21"/>
      <c r="J11" s="21"/>
      <c r="K11" s="21"/>
      <c r="L11" s="12">
        <f t="shared" si="1"/>
        <v>0</v>
      </c>
      <c r="M11" s="56"/>
      <c r="N11" s="10" t="str">
        <f>[1]!AIUB_Grade_V3(L11)</f>
        <v>F</v>
      </c>
      <c r="O11" s="11"/>
      <c r="P11" s="55"/>
      <c r="Q11" s="55">
        <f t="shared" si="0"/>
        <v>0</v>
      </c>
      <c r="R11" s="55" t="str">
        <f>[1]!AIUB_Grade_V3(Q11)</f>
        <v>F</v>
      </c>
      <c r="S11" s="57" cm="1">
        <f t="array" ref="S11">[2]!AIUB_MarksNeeded(L11)</f>
        <v>50</v>
      </c>
      <c r="T11" s="57" cm="1">
        <f t="array" ref="T11">[2]!AIUB_MarksNeeded(Q11)</f>
        <v>50</v>
      </c>
    </row>
    <row r="12" spans="1:20">
      <c r="A12" s="8">
        <v>11</v>
      </c>
      <c r="B12" s="14"/>
      <c r="C12" s="15"/>
      <c r="D12" s="9"/>
      <c r="E12" s="9"/>
      <c r="F12" s="9"/>
      <c r="G12" s="9"/>
      <c r="H12" s="21"/>
      <c r="I12" s="21"/>
      <c r="J12" s="21"/>
      <c r="K12" s="21"/>
      <c r="L12" s="12">
        <f t="shared" si="1"/>
        <v>0</v>
      </c>
      <c r="M12" s="51"/>
      <c r="N12" s="10" t="str">
        <f>[1]!AIUB_Grade_V3(L12)</f>
        <v>F</v>
      </c>
      <c r="O12" s="11"/>
      <c r="P12" s="55"/>
      <c r="Q12" s="55">
        <f t="shared" si="0"/>
        <v>0</v>
      </c>
      <c r="R12" s="55" t="str">
        <f>[1]!AIUB_Grade_V3(Q12)</f>
        <v>F</v>
      </c>
      <c r="S12" s="57" cm="1">
        <f t="array" ref="S12">[2]!AIUB_MarksNeeded(L12)</f>
        <v>50</v>
      </c>
      <c r="T12" s="57" cm="1">
        <f t="array" ref="T12">[2]!AIUB_MarksNeeded(Q12)</f>
        <v>50</v>
      </c>
    </row>
    <row r="13" spans="1:20">
      <c r="A13" s="8">
        <v>12</v>
      </c>
      <c r="B13" s="14"/>
      <c r="C13" s="15"/>
      <c r="D13" s="9"/>
      <c r="E13" s="9"/>
      <c r="F13" s="9"/>
      <c r="G13" s="9"/>
      <c r="H13" s="21"/>
      <c r="I13" s="21"/>
      <c r="J13" s="21"/>
      <c r="K13" s="21"/>
      <c r="L13" s="12">
        <f t="shared" si="1"/>
        <v>0</v>
      </c>
      <c r="M13" s="55"/>
      <c r="N13" s="10" t="str">
        <f>[1]!AIUB_Grade_V3(L13)</f>
        <v>F</v>
      </c>
      <c r="O13" s="11"/>
      <c r="P13" s="55"/>
      <c r="Q13" s="55">
        <f t="shared" si="0"/>
        <v>0</v>
      </c>
      <c r="R13" s="55" t="str">
        <f>[1]!AIUB_Grade_V3(Q13)</f>
        <v>F</v>
      </c>
      <c r="S13" s="57" cm="1">
        <f t="array" ref="S13">[2]!AIUB_MarksNeeded(L13)</f>
        <v>50</v>
      </c>
      <c r="T13" s="57" cm="1">
        <f t="array" ref="T13">[2]!AIUB_MarksNeeded(Q13)</f>
        <v>50</v>
      </c>
    </row>
    <row r="14" spans="1:20">
      <c r="A14" s="8">
        <v>13</v>
      </c>
      <c r="B14" s="14"/>
      <c r="C14" s="15"/>
      <c r="D14" s="9"/>
      <c r="E14" s="9"/>
      <c r="F14" s="9"/>
      <c r="G14" s="9"/>
      <c r="H14" s="21"/>
      <c r="I14" s="21"/>
      <c r="J14" s="21"/>
      <c r="K14" s="21"/>
      <c r="L14" s="12">
        <f t="shared" si="1"/>
        <v>0</v>
      </c>
      <c r="M14" s="55"/>
      <c r="N14" s="10" t="str">
        <f>[1]!AIUB_Grade_V3(L14)</f>
        <v>F</v>
      </c>
      <c r="O14" s="11"/>
      <c r="P14" s="55"/>
      <c r="Q14" s="55">
        <f t="shared" si="0"/>
        <v>0</v>
      </c>
      <c r="R14" s="55" t="str">
        <f>[1]!AIUB_Grade_V3(Q14)</f>
        <v>F</v>
      </c>
      <c r="S14" s="57" cm="1">
        <f t="array" ref="S14">[2]!AIUB_MarksNeeded(L14)</f>
        <v>50</v>
      </c>
      <c r="T14" s="57" cm="1">
        <f t="array" ref="T14">[2]!AIUB_MarksNeeded(Q14)</f>
        <v>50</v>
      </c>
    </row>
    <row r="15" spans="1:20">
      <c r="A15" s="8">
        <v>14</v>
      </c>
      <c r="B15" s="14"/>
      <c r="C15" s="15"/>
      <c r="D15" s="9"/>
      <c r="E15" s="9"/>
      <c r="F15" s="9"/>
      <c r="G15" s="9"/>
      <c r="H15" s="21"/>
      <c r="I15" s="21"/>
      <c r="J15" s="21"/>
      <c r="K15" s="21"/>
      <c r="L15" s="12">
        <f t="shared" si="1"/>
        <v>0</v>
      </c>
      <c r="M15" s="55"/>
      <c r="N15" s="10" t="str">
        <f>[1]!AIUB_Grade_V3(L15)</f>
        <v>F</v>
      </c>
      <c r="O15" s="11"/>
      <c r="P15" s="55"/>
      <c r="Q15" s="55">
        <f t="shared" si="0"/>
        <v>0</v>
      </c>
      <c r="R15" s="55" t="str">
        <f>[1]!AIUB_Grade_V3(Q15)</f>
        <v>F</v>
      </c>
      <c r="S15" s="57" cm="1">
        <f t="array" ref="S15">[2]!AIUB_MarksNeeded(L15)</f>
        <v>50</v>
      </c>
      <c r="T15" s="57" cm="1">
        <f t="array" ref="T15">[2]!AIUB_MarksNeeded(Q15)</f>
        <v>50</v>
      </c>
    </row>
    <row r="16" spans="1:20">
      <c r="A16" s="8">
        <v>15</v>
      </c>
      <c r="B16" s="14"/>
      <c r="C16" s="15"/>
      <c r="D16" s="9"/>
      <c r="E16" s="9"/>
      <c r="F16" s="9"/>
      <c r="G16" s="9"/>
      <c r="H16" s="21"/>
      <c r="I16" s="21"/>
      <c r="J16" s="21"/>
      <c r="K16" s="21"/>
      <c r="L16" s="12">
        <f t="shared" si="1"/>
        <v>0</v>
      </c>
      <c r="M16" s="55"/>
      <c r="N16" s="10" t="str">
        <f>[1]!AIUB_Grade_V3(L16)</f>
        <v>F</v>
      </c>
      <c r="O16" s="11"/>
      <c r="P16" s="55"/>
      <c r="Q16" s="55">
        <f t="shared" si="0"/>
        <v>0</v>
      </c>
      <c r="R16" s="55" t="str">
        <f>[1]!AIUB_Grade_V3(Q16)</f>
        <v>F</v>
      </c>
      <c r="S16" s="57" cm="1">
        <f t="array" ref="S16">[2]!AIUB_MarksNeeded(L16)</f>
        <v>50</v>
      </c>
      <c r="T16" s="57" cm="1">
        <f t="array" ref="T16">[2]!AIUB_MarksNeeded(Q16)</f>
        <v>50</v>
      </c>
    </row>
    <row r="17" spans="1:20">
      <c r="A17" s="8">
        <v>16</v>
      </c>
      <c r="B17" s="14"/>
      <c r="C17" s="15"/>
      <c r="D17" s="9"/>
      <c r="E17" s="9"/>
      <c r="F17" s="9"/>
      <c r="G17" s="9"/>
      <c r="H17" s="21"/>
      <c r="I17" s="21"/>
      <c r="J17" s="21"/>
      <c r="K17" s="21"/>
      <c r="L17" s="12">
        <f t="shared" si="1"/>
        <v>0</v>
      </c>
      <c r="M17" s="55"/>
      <c r="N17" s="10" t="str">
        <f>[1]!AIUB_Grade_V3(L17)</f>
        <v>F</v>
      </c>
      <c r="O17" s="11"/>
      <c r="P17" s="55"/>
      <c r="Q17" s="55">
        <f t="shared" si="0"/>
        <v>0</v>
      </c>
      <c r="R17" s="55" t="str">
        <f>[1]!AIUB_Grade_V3(Q17)</f>
        <v>F</v>
      </c>
      <c r="S17" s="57" cm="1">
        <f t="array" ref="S17">[2]!AIUB_MarksNeeded(L17)</f>
        <v>50</v>
      </c>
      <c r="T17" s="57" cm="1">
        <f t="array" ref="T17">[2]!AIUB_MarksNeeded(Q17)</f>
        <v>50</v>
      </c>
    </row>
    <row r="18" spans="1:20">
      <c r="A18" s="8">
        <v>17</v>
      </c>
      <c r="B18" s="14"/>
      <c r="C18" s="15"/>
      <c r="D18" s="10"/>
      <c r="E18" s="10"/>
      <c r="F18" s="9"/>
      <c r="G18" s="9"/>
      <c r="H18" s="21"/>
      <c r="I18" s="21"/>
      <c r="J18" s="21"/>
      <c r="K18" s="21"/>
      <c r="L18" s="12">
        <f t="shared" si="1"/>
        <v>0</v>
      </c>
      <c r="M18" s="55"/>
      <c r="N18" s="10" t="str">
        <f>[1]!AIUB_Grade_V3(L18)</f>
        <v>F</v>
      </c>
      <c r="O18" s="11"/>
      <c r="P18" s="55"/>
      <c r="Q18" s="55">
        <f t="shared" si="0"/>
        <v>0</v>
      </c>
      <c r="R18" s="55" t="str">
        <f>[1]!AIUB_Grade_V3(Q18)</f>
        <v>F</v>
      </c>
      <c r="S18" s="57" cm="1">
        <f t="array" ref="S18">[2]!AIUB_MarksNeeded(L18)</f>
        <v>50</v>
      </c>
      <c r="T18" s="57" cm="1">
        <f t="array" ref="T18">[2]!AIUB_MarksNeeded(Q18)</f>
        <v>50</v>
      </c>
    </row>
    <row r="19" spans="1:20">
      <c r="A19" s="8">
        <v>18</v>
      </c>
      <c r="B19" s="14"/>
      <c r="C19" s="15"/>
      <c r="D19" s="9"/>
      <c r="E19" s="9"/>
      <c r="F19" s="9"/>
      <c r="G19" s="9"/>
      <c r="H19" s="21"/>
      <c r="I19" s="21"/>
      <c r="J19" s="21"/>
      <c r="K19" s="21"/>
      <c r="L19" s="12">
        <f t="shared" si="1"/>
        <v>0</v>
      </c>
      <c r="M19" s="56"/>
      <c r="N19" s="10" t="str">
        <f>[1]!AIUB_Grade_V3(L19)</f>
        <v>F</v>
      </c>
      <c r="O19" s="11"/>
      <c r="P19" s="55"/>
      <c r="Q19" s="55">
        <f t="shared" si="0"/>
        <v>0</v>
      </c>
      <c r="R19" s="55" t="str">
        <f>[1]!AIUB_Grade_V3(Q19)</f>
        <v>F</v>
      </c>
      <c r="S19" s="57" cm="1">
        <f t="array" ref="S19">[2]!AIUB_MarksNeeded(L19)</f>
        <v>50</v>
      </c>
      <c r="T19" s="57" cm="1">
        <f t="array" ref="T19">[2]!AIUB_MarksNeeded(Q19)</f>
        <v>50</v>
      </c>
    </row>
    <row r="20" spans="1:20">
      <c r="A20" s="8">
        <v>19</v>
      </c>
      <c r="B20" s="14"/>
      <c r="C20" s="15"/>
      <c r="D20" s="9"/>
      <c r="E20" s="9"/>
      <c r="F20" s="9"/>
      <c r="G20" s="9"/>
      <c r="H20" s="21"/>
      <c r="I20" s="21"/>
      <c r="J20" s="21"/>
      <c r="K20" s="21"/>
      <c r="L20" s="12">
        <f t="shared" si="1"/>
        <v>0</v>
      </c>
      <c r="M20" s="55"/>
      <c r="N20" s="10" t="str">
        <f>[1]!AIUB_Grade_V3(L20)</f>
        <v>F</v>
      </c>
      <c r="O20" s="11"/>
      <c r="P20" s="55"/>
      <c r="Q20" s="55">
        <f t="shared" si="0"/>
        <v>0</v>
      </c>
      <c r="R20" s="55" t="str">
        <f>[1]!AIUB_Grade_V3(Q20)</f>
        <v>F</v>
      </c>
      <c r="S20" s="57" cm="1">
        <f t="array" ref="S20">[2]!AIUB_MarksNeeded(L20)</f>
        <v>50</v>
      </c>
      <c r="T20" s="57" cm="1">
        <f t="array" ref="T20">[2]!AIUB_MarksNeeded(Q20)</f>
        <v>50</v>
      </c>
    </row>
    <row r="21" spans="1:20">
      <c r="A21" s="8">
        <v>20</v>
      </c>
      <c r="B21" s="14"/>
      <c r="C21" s="15"/>
      <c r="D21" s="9"/>
      <c r="E21" s="9"/>
      <c r="F21" s="9"/>
      <c r="G21" s="9"/>
      <c r="H21" s="21"/>
      <c r="I21" s="21"/>
      <c r="J21" s="21"/>
      <c r="K21" s="21"/>
      <c r="L21" s="12">
        <f t="shared" si="1"/>
        <v>0</v>
      </c>
      <c r="M21" s="55"/>
      <c r="N21" s="10" t="str">
        <f>[1]!AIUB_Grade_V3(L21)</f>
        <v>F</v>
      </c>
      <c r="O21" s="11"/>
      <c r="P21" s="55"/>
      <c r="Q21" s="55">
        <f t="shared" si="0"/>
        <v>0</v>
      </c>
      <c r="R21" s="55" t="str">
        <f>[1]!AIUB_Grade_V3(Q21)</f>
        <v>F</v>
      </c>
      <c r="S21" s="57" cm="1">
        <f t="array" ref="S21">[2]!AIUB_MarksNeeded(L21)</f>
        <v>50</v>
      </c>
      <c r="T21" s="57" cm="1">
        <f t="array" ref="T21">[2]!AIUB_MarksNeeded(Q21)</f>
        <v>50</v>
      </c>
    </row>
    <row r="22" spans="1:20">
      <c r="A22" s="8">
        <v>21</v>
      </c>
      <c r="B22" s="14"/>
      <c r="C22" s="15"/>
      <c r="D22" s="9"/>
      <c r="E22" s="9"/>
      <c r="F22" s="9"/>
      <c r="G22" s="9"/>
      <c r="H22" s="21"/>
      <c r="I22" s="21"/>
      <c r="J22" s="21"/>
      <c r="K22" s="21"/>
      <c r="L22" s="12">
        <f t="shared" si="1"/>
        <v>0</v>
      </c>
      <c r="M22" s="55"/>
      <c r="N22" s="10" t="str">
        <f>[1]!AIUB_Grade_V3(L22)</f>
        <v>F</v>
      </c>
      <c r="O22" s="11"/>
      <c r="P22" s="55"/>
      <c r="Q22" s="55">
        <f t="shared" si="0"/>
        <v>0</v>
      </c>
      <c r="R22" s="55" t="str">
        <f>[1]!AIUB_Grade_V3(Q22)</f>
        <v>F</v>
      </c>
      <c r="S22" s="57" cm="1">
        <f t="array" ref="S22">[2]!AIUB_MarksNeeded(L22)</f>
        <v>50</v>
      </c>
      <c r="T22" s="57" cm="1">
        <f t="array" ref="T22">[2]!AIUB_MarksNeeded(Q22)</f>
        <v>50</v>
      </c>
    </row>
    <row r="23" spans="1:20">
      <c r="A23" s="8">
        <v>22</v>
      </c>
      <c r="B23" s="14"/>
      <c r="C23" s="15"/>
      <c r="D23" s="9"/>
      <c r="E23" s="9"/>
      <c r="F23" s="9"/>
      <c r="G23" s="9"/>
      <c r="H23" s="21"/>
      <c r="I23" s="21"/>
      <c r="J23" s="21"/>
      <c r="K23" s="21"/>
      <c r="L23" s="12">
        <f t="shared" si="1"/>
        <v>0</v>
      </c>
      <c r="M23" s="55"/>
      <c r="N23" s="10" t="str">
        <f>[1]!AIUB_Grade_V3(L23)</f>
        <v>F</v>
      </c>
      <c r="O23" s="11"/>
      <c r="P23" s="55"/>
      <c r="Q23" s="55">
        <f t="shared" si="0"/>
        <v>0</v>
      </c>
      <c r="R23" s="55" t="str">
        <f>[1]!AIUB_Grade_V3(Q23)</f>
        <v>F</v>
      </c>
      <c r="S23" s="57" cm="1">
        <f t="array" ref="S23">[2]!AIUB_MarksNeeded(L23)</f>
        <v>50</v>
      </c>
      <c r="T23" s="57" cm="1">
        <f t="array" ref="T23">[2]!AIUB_MarksNeeded(Q23)</f>
        <v>50</v>
      </c>
    </row>
    <row r="24" spans="1:20">
      <c r="A24" s="8">
        <v>23</v>
      </c>
      <c r="B24" s="14"/>
      <c r="C24" s="15"/>
      <c r="D24" s="9"/>
      <c r="E24" s="9"/>
      <c r="F24" s="9"/>
      <c r="G24" s="9"/>
      <c r="H24" s="21"/>
      <c r="I24" s="21"/>
      <c r="J24" s="21"/>
      <c r="K24" s="21"/>
      <c r="L24" s="12">
        <f t="shared" si="1"/>
        <v>0</v>
      </c>
      <c r="M24" s="55"/>
      <c r="N24" s="10" t="str">
        <f>[1]!AIUB_Grade_V3(L24)</f>
        <v>F</v>
      </c>
      <c r="O24" s="11"/>
      <c r="P24" s="55"/>
      <c r="Q24" s="55">
        <f t="shared" si="0"/>
        <v>0</v>
      </c>
      <c r="R24" s="55" t="str">
        <f>[1]!AIUB_Grade_V3(Q24)</f>
        <v>F</v>
      </c>
      <c r="S24" s="57" cm="1">
        <f t="array" ref="S24">[2]!AIUB_MarksNeeded(L24)</f>
        <v>50</v>
      </c>
      <c r="T24" s="57" cm="1">
        <f t="array" ref="T24">[2]!AIUB_MarksNeeded(Q24)</f>
        <v>50</v>
      </c>
    </row>
    <row r="25" spans="1:20">
      <c r="A25" s="8">
        <v>24</v>
      </c>
      <c r="B25" s="14"/>
      <c r="C25" s="15"/>
      <c r="D25" s="9"/>
      <c r="E25" s="9"/>
      <c r="F25" s="9"/>
      <c r="G25" s="9"/>
      <c r="H25" s="21"/>
      <c r="I25" s="21"/>
      <c r="J25" s="21"/>
      <c r="K25" s="21"/>
      <c r="L25" s="12">
        <f t="shared" si="1"/>
        <v>0</v>
      </c>
      <c r="M25" s="55"/>
      <c r="N25" s="10" t="str">
        <f>[1]!AIUB_Grade_V3(L25)</f>
        <v>F</v>
      </c>
      <c r="O25" s="11"/>
      <c r="P25" s="55"/>
      <c r="Q25" s="55">
        <f t="shared" si="0"/>
        <v>0</v>
      </c>
      <c r="R25" s="55" t="str">
        <f>[1]!AIUB_Grade_V3(Q25)</f>
        <v>F</v>
      </c>
      <c r="S25" s="57" cm="1">
        <f t="array" ref="S25">[2]!AIUB_MarksNeeded(L25)</f>
        <v>50</v>
      </c>
      <c r="T25" s="57" cm="1">
        <f t="array" ref="T25">[2]!AIUB_MarksNeeded(Q25)</f>
        <v>50</v>
      </c>
    </row>
    <row r="26" spans="1:20">
      <c r="A26" s="8">
        <v>25</v>
      </c>
      <c r="B26" s="14"/>
      <c r="C26" s="15"/>
      <c r="D26" s="9"/>
      <c r="E26" s="9"/>
      <c r="F26" s="9"/>
      <c r="G26" s="9"/>
      <c r="H26" s="21"/>
      <c r="I26" s="21"/>
      <c r="J26" s="21"/>
      <c r="K26" s="21"/>
      <c r="L26" s="12">
        <f t="shared" si="1"/>
        <v>0</v>
      </c>
      <c r="M26" s="55"/>
      <c r="N26" s="10" t="str">
        <f>[1]!AIUB_Grade_V3(L26)</f>
        <v>F</v>
      </c>
      <c r="O26" s="11"/>
      <c r="P26" s="55"/>
      <c r="Q26" s="55">
        <f t="shared" si="0"/>
        <v>0</v>
      </c>
      <c r="R26" s="55" t="str">
        <f>[1]!AIUB_Grade_V3(Q26)</f>
        <v>F</v>
      </c>
      <c r="S26" s="57" cm="1">
        <f t="array" ref="S26">[2]!AIUB_MarksNeeded(L26)</f>
        <v>50</v>
      </c>
      <c r="T26" s="57" cm="1">
        <f t="array" ref="T26">[2]!AIUB_MarksNeeded(Q26)</f>
        <v>50</v>
      </c>
    </row>
    <row r="27" spans="1:20">
      <c r="A27" s="8">
        <v>26</v>
      </c>
      <c r="B27" s="14"/>
      <c r="C27" s="15"/>
      <c r="D27" s="9"/>
      <c r="E27" s="9"/>
      <c r="F27" s="9"/>
      <c r="G27" s="9"/>
      <c r="H27" s="21"/>
      <c r="I27" s="21"/>
      <c r="J27" s="21"/>
      <c r="K27" s="21"/>
      <c r="L27" s="12">
        <f t="shared" si="1"/>
        <v>0</v>
      </c>
      <c r="M27" s="55"/>
      <c r="N27" s="10" t="str">
        <f>[1]!AIUB_Grade_V3(L27)</f>
        <v>F</v>
      </c>
      <c r="O27" s="11"/>
      <c r="P27" s="55"/>
      <c r="Q27" s="55">
        <f t="shared" si="0"/>
        <v>0</v>
      </c>
      <c r="R27" s="55" t="str">
        <f>[1]!AIUB_Grade_V3(Q27)</f>
        <v>F</v>
      </c>
      <c r="S27" s="57" cm="1">
        <f t="array" ref="S27">[2]!AIUB_MarksNeeded(L27)</f>
        <v>50</v>
      </c>
      <c r="T27" s="57" cm="1">
        <f t="array" ref="T27">[2]!AIUB_MarksNeeded(Q27)</f>
        <v>50</v>
      </c>
    </row>
    <row r="28" spans="1:20">
      <c r="A28" s="8">
        <v>27</v>
      </c>
      <c r="B28" s="14"/>
      <c r="C28" s="15"/>
      <c r="D28" s="9"/>
      <c r="E28" s="9"/>
      <c r="F28" s="9"/>
      <c r="G28" s="9"/>
      <c r="H28" s="21"/>
      <c r="I28" s="21"/>
      <c r="J28" s="21"/>
      <c r="K28" s="21"/>
      <c r="L28" s="12">
        <f t="shared" si="1"/>
        <v>0</v>
      </c>
      <c r="M28" s="56"/>
      <c r="N28" s="10" t="str">
        <f>[1]!AIUB_Grade_V3(L28)</f>
        <v>F</v>
      </c>
      <c r="O28" s="11"/>
      <c r="P28" s="55"/>
      <c r="Q28" s="55">
        <f t="shared" si="0"/>
        <v>0</v>
      </c>
      <c r="R28" s="55" t="str">
        <f>[1]!AIUB_Grade_V3(Q28)</f>
        <v>F</v>
      </c>
      <c r="S28" s="57" cm="1">
        <f t="array" ref="S28">[2]!AIUB_MarksNeeded(L28)</f>
        <v>50</v>
      </c>
      <c r="T28" s="57" cm="1">
        <f t="array" ref="T28">[2]!AIUB_MarksNeeded(Q28)</f>
        <v>50</v>
      </c>
    </row>
    <row r="29" spans="1:20">
      <c r="A29" s="8">
        <v>28</v>
      </c>
      <c r="B29" s="14"/>
      <c r="C29" s="15"/>
      <c r="D29" s="9"/>
      <c r="E29" s="9"/>
      <c r="F29" s="9"/>
      <c r="G29" s="9"/>
      <c r="H29" s="21"/>
      <c r="I29" s="21"/>
      <c r="J29" s="21"/>
      <c r="K29" s="21"/>
      <c r="L29" s="12">
        <f t="shared" si="1"/>
        <v>0</v>
      </c>
      <c r="M29" s="55"/>
      <c r="N29" s="10" t="str">
        <f>[1]!AIUB_Grade_V3(L29)</f>
        <v>F</v>
      </c>
      <c r="O29" s="11"/>
      <c r="P29" s="55"/>
      <c r="Q29" s="55">
        <f t="shared" si="0"/>
        <v>0</v>
      </c>
      <c r="R29" s="55" t="str">
        <f>[1]!AIUB_Grade_V3(Q29)</f>
        <v>F</v>
      </c>
      <c r="S29" s="57" cm="1">
        <f t="array" ref="S29">[2]!AIUB_MarksNeeded(L29)</f>
        <v>50</v>
      </c>
      <c r="T29" s="57" cm="1">
        <f t="array" ref="T29">[2]!AIUB_MarksNeeded(Q29)</f>
        <v>50</v>
      </c>
    </row>
    <row r="30" spans="1:20">
      <c r="A30" s="8">
        <v>29</v>
      </c>
      <c r="B30" s="14"/>
      <c r="C30" s="15"/>
      <c r="D30" s="9"/>
      <c r="E30" s="9"/>
      <c r="F30" s="9"/>
      <c r="G30" s="9"/>
      <c r="H30" s="21"/>
      <c r="I30" s="21"/>
      <c r="J30" s="21"/>
      <c r="K30" s="21"/>
      <c r="L30" s="12">
        <f t="shared" si="1"/>
        <v>0</v>
      </c>
      <c r="M30" s="55"/>
      <c r="N30" s="10" t="str">
        <f>[1]!AIUB_Grade_V3(L30)</f>
        <v>F</v>
      </c>
      <c r="O30" s="11"/>
      <c r="P30" s="55"/>
      <c r="Q30" s="55">
        <f t="shared" si="0"/>
        <v>0</v>
      </c>
      <c r="R30" s="55" t="str">
        <f>[1]!AIUB_Grade_V3(Q30)</f>
        <v>F</v>
      </c>
      <c r="S30" s="57" cm="1">
        <f t="array" ref="S30">[2]!AIUB_MarksNeeded(L30)</f>
        <v>50</v>
      </c>
      <c r="T30" s="57" cm="1">
        <f t="array" ref="T30">[2]!AIUB_MarksNeeded(Q30)</f>
        <v>50</v>
      </c>
    </row>
    <row r="31" spans="1:20">
      <c r="A31" s="8">
        <v>30</v>
      </c>
      <c r="B31" s="14"/>
      <c r="C31" s="15"/>
      <c r="D31" s="9"/>
      <c r="E31" s="9"/>
      <c r="F31" s="9"/>
      <c r="G31" s="9"/>
      <c r="H31" s="21"/>
      <c r="I31" s="21"/>
      <c r="J31" s="21"/>
      <c r="K31" s="21"/>
      <c r="L31" s="12">
        <f t="shared" si="1"/>
        <v>0</v>
      </c>
      <c r="M31" s="55"/>
      <c r="N31" s="10" t="str">
        <f>[1]!AIUB_Grade_V3(L31)</f>
        <v>F</v>
      </c>
      <c r="O31" s="11"/>
      <c r="P31" s="55"/>
      <c r="Q31" s="55">
        <f t="shared" si="0"/>
        <v>0</v>
      </c>
      <c r="R31" s="55" t="str">
        <f>[1]!AIUB_Grade_V3(Q31)</f>
        <v>F</v>
      </c>
      <c r="S31" s="57" cm="1">
        <f t="array" ref="S31">[2]!AIUB_MarksNeeded(L31)</f>
        <v>50</v>
      </c>
      <c r="T31" s="57" cm="1">
        <f t="array" ref="T31">[2]!AIUB_MarksNeeded(Q31)</f>
        <v>50</v>
      </c>
    </row>
    <row r="32" spans="1:20">
      <c r="A32" s="8">
        <v>31</v>
      </c>
      <c r="B32" s="14"/>
      <c r="C32" s="15"/>
      <c r="D32" s="9"/>
      <c r="E32" s="9"/>
      <c r="F32" s="9"/>
      <c r="G32" s="9"/>
      <c r="H32" s="21"/>
      <c r="I32" s="21"/>
      <c r="J32" s="21"/>
      <c r="K32" s="21"/>
      <c r="L32" s="12">
        <f t="shared" si="1"/>
        <v>0</v>
      </c>
      <c r="M32" s="56"/>
      <c r="N32" s="10" t="str">
        <f>[1]!AIUB_Grade_V3(L32)</f>
        <v>F</v>
      </c>
      <c r="O32" s="11"/>
      <c r="P32" s="55"/>
      <c r="Q32" s="55">
        <f t="shared" si="0"/>
        <v>0</v>
      </c>
      <c r="R32" s="55" t="str">
        <f>[1]!AIUB_Grade_V3(Q32)</f>
        <v>F</v>
      </c>
      <c r="S32" s="57" cm="1">
        <f t="array" ref="S32">[2]!AIUB_MarksNeeded(L32)</f>
        <v>50</v>
      </c>
      <c r="T32" s="57" cm="1">
        <f t="array" ref="T32">[2]!AIUB_MarksNeeded(Q32)</f>
        <v>50</v>
      </c>
    </row>
    <row r="33" spans="1:20">
      <c r="A33" s="8">
        <v>32</v>
      </c>
      <c r="B33" s="14"/>
      <c r="C33" s="15"/>
      <c r="D33" s="9"/>
      <c r="E33" s="9"/>
      <c r="F33" s="9"/>
      <c r="G33" s="9"/>
      <c r="H33" s="21"/>
      <c r="I33" s="21"/>
      <c r="J33" s="21"/>
      <c r="K33" s="21"/>
      <c r="L33" s="12">
        <f t="shared" si="1"/>
        <v>0</v>
      </c>
      <c r="M33" s="56"/>
      <c r="N33" s="10" t="str">
        <f>[1]!AIUB_Grade_V3(L33)</f>
        <v>F</v>
      </c>
      <c r="O33" s="11"/>
      <c r="P33" s="55"/>
      <c r="Q33" s="55">
        <f t="shared" si="0"/>
        <v>0</v>
      </c>
      <c r="R33" s="55" t="str">
        <f>[1]!AIUB_Grade_V3(Q33)</f>
        <v>F</v>
      </c>
      <c r="S33" s="57" cm="1">
        <f t="array" ref="S33">[2]!AIUB_MarksNeeded(L33)</f>
        <v>50</v>
      </c>
      <c r="T33" s="57" cm="1">
        <f t="array" ref="T33">[2]!AIUB_MarksNeeded(Q33)</f>
        <v>50</v>
      </c>
    </row>
    <row r="34" spans="1:20">
      <c r="A34" s="8">
        <v>33</v>
      </c>
      <c r="B34" s="14"/>
      <c r="C34" s="15"/>
      <c r="D34" s="9"/>
      <c r="E34" s="9"/>
      <c r="F34" s="9"/>
      <c r="G34" s="9"/>
      <c r="H34" s="21"/>
      <c r="I34" s="21"/>
      <c r="J34" s="21"/>
      <c r="K34" s="21"/>
      <c r="L34" s="12">
        <f t="shared" si="1"/>
        <v>0</v>
      </c>
      <c r="M34" s="55"/>
      <c r="N34" s="10" t="str">
        <f>[1]!AIUB_Grade_V3(L34)</f>
        <v>F</v>
      </c>
      <c r="O34" s="11"/>
      <c r="P34" s="55"/>
      <c r="Q34" s="55">
        <f t="shared" si="0"/>
        <v>0</v>
      </c>
      <c r="R34" s="55" t="str">
        <f>[1]!AIUB_Grade_V3(Q34)</f>
        <v>F</v>
      </c>
      <c r="S34" s="57" cm="1">
        <f t="array" ref="S34">[2]!AIUB_MarksNeeded(L34)</f>
        <v>50</v>
      </c>
      <c r="T34" s="57" cm="1">
        <f t="array" ref="T34">[2]!AIUB_MarksNeeded(Q34)</f>
        <v>50</v>
      </c>
    </row>
    <row r="35" spans="1:20">
      <c r="A35" s="8">
        <v>34</v>
      </c>
      <c r="B35" s="14"/>
      <c r="C35" s="15"/>
      <c r="D35" s="9"/>
      <c r="E35" s="9"/>
      <c r="F35" s="9"/>
      <c r="G35" s="9"/>
      <c r="H35" s="21"/>
      <c r="I35" s="21"/>
      <c r="J35" s="21"/>
      <c r="K35" s="21"/>
      <c r="L35" s="12">
        <f t="shared" si="1"/>
        <v>0</v>
      </c>
      <c r="M35" s="55"/>
      <c r="N35" s="10" t="str">
        <f>[1]!AIUB_Grade_V3(L35)</f>
        <v>F</v>
      </c>
      <c r="O35" s="11"/>
      <c r="P35" s="55"/>
      <c r="Q35" s="55">
        <f t="shared" si="0"/>
        <v>0</v>
      </c>
      <c r="R35" s="55" t="str">
        <f>[1]!AIUB_Grade_V3(Q35)</f>
        <v>F</v>
      </c>
      <c r="S35" s="57" cm="1">
        <f t="array" ref="S35">[2]!AIUB_MarksNeeded(L35)</f>
        <v>50</v>
      </c>
      <c r="T35" s="57" cm="1">
        <f t="array" ref="T35">[2]!AIUB_MarksNeeded(Q35)</f>
        <v>50</v>
      </c>
    </row>
    <row r="36" spans="1:20">
      <c r="A36" s="8">
        <v>35</v>
      </c>
      <c r="B36" s="14"/>
      <c r="C36" s="15"/>
      <c r="D36" s="9"/>
      <c r="E36" s="9"/>
      <c r="F36" s="9"/>
      <c r="G36" s="9"/>
      <c r="H36" s="21"/>
      <c r="I36" s="21"/>
      <c r="J36" s="21"/>
      <c r="K36" s="21"/>
      <c r="L36" s="12">
        <f t="shared" si="1"/>
        <v>0</v>
      </c>
      <c r="M36" s="55"/>
      <c r="N36" s="10" t="str">
        <f>[1]!AIUB_Grade_V3(L36)</f>
        <v>F</v>
      </c>
      <c r="O36" s="11"/>
      <c r="P36" s="55"/>
      <c r="Q36" s="55">
        <f t="shared" si="0"/>
        <v>0</v>
      </c>
      <c r="R36" s="55" t="str">
        <f>[1]!AIUB_Grade_V3(Q36)</f>
        <v>F</v>
      </c>
      <c r="S36" s="57" cm="1">
        <f t="array" ref="S36">[2]!AIUB_MarksNeeded(L36)</f>
        <v>50</v>
      </c>
      <c r="T36" s="57" cm="1">
        <f t="array" ref="T36">[2]!AIUB_MarksNeeded(Q36)</f>
        <v>50</v>
      </c>
    </row>
    <row r="37" spans="1:20">
      <c r="A37" s="8">
        <v>36</v>
      </c>
      <c r="B37" s="14"/>
      <c r="C37" s="15"/>
      <c r="D37" s="9"/>
      <c r="E37" s="9"/>
      <c r="F37" s="9"/>
      <c r="G37" s="9"/>
      <c r="H37" s="21"/>
      <c r="I37" s="21"/>
      <c r="J37" s="21"/>
      <c r="K37" s="21"/>
      <c r="L37" s="12">
        <f t="shared" si="1"/>
        <v>0</v>
      </c>
      <c r="M37" s="55"/>
      <c r="N37" s="10" t="str">
        <f>[1]!AIUB_Grade_V3(L37)</f>
        <v>F</v>
      </c>
      <c r="O37" s="11"/>
      <c r="P37" s="55"/>
      <c r="Q37" s="55">
        <f t="shared" si="0"/>
        <v>0</v>
      </c>
      <c r="R37" s="55" t="str">
        <f>[1]!AIUB_Grade_V3(Q37)</f>
        <v>F</v>
      </c>
      <c r="S37" s="57" cm="1">
        <f t="array" ref="S37">[2]!AIUB_MarksNeeded(L37)</f>
        <v>50</v>
      </c>
      <c r="T37" s="57" cm="1">
        <f t="array" ref="T37">[2]!AIUB_MarksNeeded(Q37)</f>
        <v>50</v>
      </c>
    </row>
    <row r="38" spans="1:20">
      <c r="A38" s="8">
        <v>37</v>
      </c>
      <c r="B38" s="14"/>
      <c r="C38" s="15"/>
      <c r="D38" s="9"/>
      <c r="E38" s="9"/>
      <c r="F38" s="9"/>
      <c r="G38" s="9"/>
      <c r="H38" s="21"/>
      <c r="I38" s="21"/>
      <c r="J38" s="21"/>
      <c r="K38" s="21"/>
      <c r="L38" s="12">
        <f t="shared" si="1"/>
        <v>0</v>
      </c>
      <c r="M38" s="56"/>
      <c r="N38" s="10" t="str">
        <f>[1]!AIUB_Grade_V3(L38)</f>
        <v>F</v>
      </c>
      <c r="O38" s="11"/>
      <c r="P38" s="58"/>
      <c r="Q38" s="55">
        <f t="shared" si="0"/>
        <v>0</v>
      </c>
      <c r="R38" s="55" t="str">
        <f>[1]!AIUB_Grade_V3(Q38)</f>
        <v>F</v>
      </c>
      <c r="S38" s="57" cm="1">
        <f t="array" ref="S38">[2]!AIUB_MarksNeeded(L38)</f>
        <v>50</v>
      </c>
      <c r="T38" s="57" cm="1">
        <f t="array" ref="T38">[2]!AIUB_MarksNeeded(Q38)</f>
        <v>50</v>
      </c>
    </row>
    <row r="39" spans="1:20">
      <c r="A39" s="8">
        <v>38</v>
      </c>
      <c r="B39" s="14"/>
      <c r="C39" s="15"/>
      <c r="D39" s="9"/>
      <c r="E39" s="9"/>
      <c r="F39" s="9"/>
      <c r="G39" s="9"/>
      <c r="H39" s="21"/>
      <c r="I39" s="21"/>
      <c r="J39" s="21"/>
      <c r="K39" s="21"/>
      <c r="L39" s="12">
        <f t="shared" si="1"/>
        <v>0</v>
      </c>
      <c r="M39" s="55"/>
      <c r="N39" s="10" t="str">
        <f>[1]!AIUB_Grade_V3(L39)</f>
        <v>F</v>
      </c>
      <c r="O39" s="11"/>
      <c r="P39" s="55"/>
      <c r="Q39" s="55">
        <f t="shared" si="0"/>
        <v>0</v>
      </c>
      <c r="R39" s="55" t="str">
        <f>[1]!AIUB_Grade_V3(Q39)</f>
        <v>F</v>
      </c>
      <c r="S39" s="57" cm="1">
        <f t="array" ref="S39">[2]!AIUB_MarksNeeded(L39)</f>
        <v>50</v>
      </c>
      <c r="T39" s="57" cm="1">
        <f t="array" ref="T39">[2]!AIUB_MarksNeeded(Q39)</f>
        <v>50</v>
      </c>
    </row>
    <row r="40" spans="1:20">
      <c r="A40" s="8">
        <v>39</v>
      </c>
      <c r="B40" s="14"/>
      <c r="C40" s="15"/>
      <c r="D40" s="9"/>
      <c r="E40" s="9"/>
      <c r="F40" s="9"/>
      <c r="G40" s="9"/>
      <c r="H40" s="21"/>
      <c r="I40" s="21"/>
      <c r="J40" s="21"/>
      <c r="K40" s="21"/>
      <c r="L40" s="12">
        <f t="shared" si="1"/>
        <v>0</v>
      </c>
      <c r="M40" s="55"/>
      <c r="N40" s="10" t="str">
        <f>[1]!AIUB_Grade_V3(L40)</f>
        <v>F</v>
      </c>
      <c r="O40" s="11"/>
      <c r="P40" s="55"/>
      <c r="Q40" s="55">
        <f t="shared" si="0"/>
        <v>0</v>
      </c>
      <c r="R40" s="55" t="str">
        <f>[1]!AIUB_Grade_V3(Q40)</f>
        <v>F</v>
      </c>
      <c r="S40" s="57" cm="1">
        <f t="array" ref="S40">[2]!AIUB_MarksNeeded(L40)</f>
        <v>50</v>
      </c>
      <c r="T40" s="57" cm="1">
        <f t="array" ref="T40">[2]!AIUB_MarksNeeded(Q40)</f>
        <v>50</v>
      </c>
    </row>
    <row r="41" spans="1:20">
      <c r="A41" s="8">
        <v>40</v>
      </c>
      <c r="B41" s="14"/>
      <c r="C41" s="15"/>
      <c r="D41" s="9"/>
      <c r="E41" s="9"/>
      <c r="F41" s="9"/>
      <c r="G41" s="9"/>
      <c r="H41" s="21"/>
      <c r="I41" s="21"/>
      <c r="J41" s="21"/>
      <c r="K41" s="21"/>
      <c r="L41" s="12">
        <f t="shared" si="1"/>
        <v>0</v>
      </c>
      <c r="M41" s="51"/>
      <c r="N41" s="10" t="str">
        <f>[1]!AIUB_Grade_V3(L41)</f>
        <v>F</v>
      </c>
      <c r="O41" s="11"/>
      <c r="P41" s="55"/>
      <c r="Q41" s="55">
        <f t="shared" si="0"/>
        <v>0</v>
      </c>
      <c r="R41" s="55" t="str">
        <f>[1]!AIUB_Grade_V3(Q41)</f>
        <v>F</v>
      </c>
      <c r="S41" s="57" cm="1">
        <f t="array" ref="S41">[2]!AIUB_MarksNeeded(L41)</f>
        <v>50</v>
      </c>
      <c r="T41" s="57" cm="1">
        <f t="array" ref="T41">[2]!AIUB_MarksNeeded(Q41)</f>
        <v>50</v>
      </c>
    </row>
  </sheetData>
  <phoneticPr fontId="15" type="noConversion"/>
  <conditionalFormatting sqref="F18:G18 D2:G17 D19:G41">
    <cfRule type="containsText" dxfId="11" priority="1" operator="containsText" text="A">
      <formula>NOT(ISERROR(SEARCH("A",D2)))</formula>
    </cfRule>
    <cfRule type="containsText" dxfId="10" priority="2" operator="containsText" text="P">
      <formula>NOT(ISERROR(SEARCH("P",D2)))</formula>
    </cfRule>
    <cfRule type="containsText" dxfId="9" priority="3" operator="containsText" text="A">
      <formula>NOT(ISERROR(SEARCH("A",D2)))</formula>
    </cfRule>
    <cfRule type="containsText" dxfId="8" priority="4" operator="containsText" text="P">
      <formula>NOT(ISERROR(SEARCH("P",D2)))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C177-C0F2-46A3-A592-31BCC8EAF849}">
  <sheetPr codeName="Sheet2"/>
  <dimension ref="A1:O43"/>
  <sheetViews>
    <sheetView workbookViewId="0">
      <selection activeCell="L6" sqref="L6:O8"/>
    </sheetView>
  </sheetViews>
  <sheetFormatPr defaultRowHeight="14.4"/>
  <cols>
    <col min="2" max="2" width="10.44140625" bestFit="1" customWidth="1"/>
    <col min="3" max="3" width="34.6640625" bestFit="1" customWidth="1"/>
    <col min="4" max="4" width="16" customWidth="1"/>
    <col min="5" max="5" width="17.6640625" customWidth="1"/>
    <col min="6" max="6" width="10" bestFit="1" customWidth="1"/>
    <col min="7" max="7" width="13.33203125" bestFit="1" customWidth="1"/>
  </cols>
  <sheetData>
    <row r="1" spans="1:15">
      <c r="A1" s="31" t="s">
        <v>40</v>
      </c>
      <c r="B1" s="31"/>
      <c r="C1" s="31"/>
      <c r="D1" s="34" t="s">
        <v>7</v>
      </c>
      <c r="E1" s="35"/>
      <c r="F1" s="38"/>
      <c r="G1" s="39"/>
      <c r="H1" s="40"/>
    </row>
    <row r="2" spans="1:15">
      <c r="A2" s="31"/>
      <c r="B2" s="31"/>
      <c r="C2" s="31"/>
      <c r="D2" s="36"/>
      <c r="E2" s="37"/>
      <c r="F2" s="41"/>
      <c r="G2" s="42"/>
      <c r="H2" s="43"/>
    </row>
    <row r="3" spans="1:15">
      <c r="A3" s="5" t="s">
        <v>0</v>
      </c>
      <c r="B3" s="5" t="s">
        <v>1</v>
      </c>
      <c r="C3" s="5" t="s">
        <v>2</v>
      </c>
      <c r="D3" s="6" t="s">
        <v>8</v>
      </c>
      <c r="E3" s="6" t="s">
        <v>9</v>
      </c>
      <c r="F3" s="6" t="s">
        <v>10</v>
      </c>
      <c r="G3" s="6" t="s">
        <v>41</v>
      </c>
      <c r="H3" s="6" t="s">
        <v>17</v>
      </c>
    </row>
    <row r="4" spans="1:15" ht="21.75" customHeight="1">
      <c r="A4" s="8">
        <v>1</v>
      </c>
      <c r="B4" s="14"/>
      <c r="C4" s="15"/>
      <c r="D4" s="9"/>
      <c r="E4" s="9"/>
      <c r="F4" s="9">
        <f>(MAX(D4,E4))</f>
        <v>0</v>
      </c>
      <c r="G4" s="23">
        <f>(MAX(D4, E4) / $L$8) * $N$8</f>
        <v>0</v>
      </c>
      <c r="H4" s="23"/>
    </row>
    <row r="5" spans="1:15" ht="21.75" customHeight="1">
      <c r="A5" s="8">
        <v>2</v>
      </c>
      <c r="B5" s="14"/>
      <c r="C5" s="15"/>
      <c r="D5" s="9"/>
      <c r="E5" s="9"/>
      <c r="F5" s="9">
        <f t="shared" ref="F5:F43" si="0">(MAX(D5,E5))</f>
        <v>0</v>
      </c>
      <c r="G5" s="23">
        <f t="shared" ref="G5:G43" si="1">(MAX(D5, E5) / $L$8) * $N$8</f>
        <v>0</v>
      </c>
      <c r="H5" s="23"/>
    </row>
    <row r="6" spans="1:15" ht="21.75" customHeight="1">
      <c r="A6" s="8">
        <v>3</v>
      </c>
      <c r="B6" s="14"/>
      <c r="C6" s="15"/>
      <c r="D6" s="9"/>
      <c r="E6" s="9"/>
      <c r="F6" s="9">
        <f t="shared" si="0"/>
        <v>0</v>
      </c>
      <c r="G6" s="23">
        <f t="shared" si="1"/>
        <v>0</v>
      </c>
      <c r="H6" s="23"/>
      <c r="L6" s="33" t="s">
        <v>32</v>
      </c>
      <c r="M6" s="33"/>
      <c r="N6" s="33"/>
      <c r="O6" s="33"/>
    </row>
    <row r="7" spans="1:15" ht="21.75" customHeight="1">
      <c r="A7" s="8">
        <v>4</v>
      </c>
      <c r="B7" s="14"/>
      <c r="C7" s="15"/>
      <c r="D7" s="9"/>
      <c r="E7" s="9"/>
      <c r="F7" s="9">
        <f t="shared" si="0"/>
        <v>0</v>
      </c>
      <c r="G7" s="23">
        <f t="shared" si="1"/>
        <v>0</v>
      </c>
      <c r="H7" s="23"/>
      <c r="L7" s="30" t="s">
        <v>33</v>
      </c>
      <c r="M7" s="30"/>
      <c r="N7" s="30" t="s">
        <v>34</v>
      </c>
      <c r="O7" s="30"/>
    </row>
    <row r="8" spans="1:15" ht="21.75" customHeight="1">
      <c r="A8" s="8">
        <v>5</v>
      </c>
      <c r="B8" s="14"/>
      <c r="C8" s="15"/>
      <c r="D8" s="9"/>
      <c r="E8" s="9"/>
      <c r="F8" s="9">
        <f t="shared" si="0"/>
        <v>0</v>
      </c>
      <c r="G8" s="23">
        <f t="shared" si="1"/>
        <v>0</v>
      </c>
      <c r="H8" s="23"/>
      <c r="L8" s="30">
        <v>30</v>
      </c>
      <c r="M8" s="30"/>
      <c r="N8" s="30">
        <v>15</v>
      </c>
      <c r="O8" s="30"/>
    </row>
    <row r="9" spans="1:15" ht="21.75" customHeight="1">
      <c r="A9" s="8">
        <v>6</v>
      </c>
      <c r="B9" s="14"/>
      <c r="C9" s="15"/>
      <c r="D9" s="9"/>
      <c r="E9" s="9"/>
      <c r="F9" s="9">
        <f t="shared" si="0"/>
        <v>0</v>
      </c>
      <c r="G9" s="23">
        <f t="shared" si="1"/>
        <v>0</v>
      </c>
      <c r="H9" s="23"/>
    </row>
    <row r="10" spans="1:15" ht="21.75" customHeight="1">
      <c r="A10" s="8">
        <v>7</v>
      </c>
      <c r="B10" s="14"/>
      <c r="C10" s="15"/>
      <c r="D10" s="9"/>
      <c r="E10" s="9"/>
      <c r="F10" s="9">
        <f t="shared" si="0"/>
        <v>0</v>
      </c>
      <c r="G10" s="23">
        <f t="shared" si="1"/>
        <v>0</v>
      </c>
      <c r="H10" s="23"/>
    </row>
    <row r="11" spans="1:15" ht="21.75" customHeight="1">
      <c r="A11" s="8">
        <v>8</v>
      </c>
      <c r="B11" s="14"/>
      <c r="C11" s="15"/>
      <c r="D11" s="9"/>
      <c r="E11" s="9"/>
      <c r="F11" s="9">
        <f t="shared" si="0"/>
        <v>0</v>
      </c>
      <c r="G11" s="23">
        <f t="shared" si="1"/>
        <v>0</v>
      </c>
      <c r="H11" s="23"/>
    </row>
    <row r="12" spans="1:15" ht="21.75" customHeight="1">
      <c r="A12" s="8">
        <v>9</v>
      </c>
      <c r="B12" s="14"/>
      <c r="C12" s="15"/>
      <c r="D12" s="9"/>
      <c r="E12" s="9"/>
      <c r="F12" s="9">
        <f t="shared" si="0"/>
        <v>0</v>
      </c>
      <c r="G12" s="23">
        <f t="shared" si="1"/>
        <v>0</v>
      </c>
      <c r="H12" s="23"/>
    </row>
    <row r="13" spans="1:15" ht="21.75" customHeight="1">
      <c r="A13" s="8">
        <v>10</v>
      </c>
      <c r="B13" s="14"/>
      <c r="C13" s="15"/>
      <c r="D13" s="9"/>
      <c r="E13" s="9"/>
      <c r="F13" s="9">
        <f t="shared" si="0"/>
        <v>0</v>
      </c>
      <c r="G13" s="23">
        <f t="shared" si="1"/>
        <v>0</v>
      </c>
      <c r="H13" s="23"/>
    </row>
    <row r="14" spans="1:15" ht="21.75" customHeight="1">
      <c r="A14" s="8">
        <v>11</v>
      </c>
      <c r="B14" s="14"/>
      <c r="C14" s="15"/>
      <c r="D14" s="9"/>
      <c r="E14" s="9"/>
      <c r="F14" s="9">
        <f t="shared" si="0"/>
        <v>0</v>
      </c>
      <c r="G14" s="23">
        <f t="shared" si="1"/>
        <v>0</v>
      </c>
      <c r="H14" s="23"/>
    </row>
    <row r="15" spans="1:15" ht="21.75" customHeight="1">
      <c r="A15" s="8">
        <v>12</v>
      </c>
      <c r="B15" s="14"/>
      <c r="C15" s="15"/>
      <c r="D15" s="9"/>
      <c r="E15" s="9"/>
      <c r="F15" s="9">
        <f t="shared" si="0"/>
        <v>0</v>
      </c>
      <c r="G15" s="23">
        <f t="shared" si="1"/>
        <v>0</v>
      </c>
      <c r="H15" s="23"/>
    </row>
    <row r="16" spans="1:15" ht="21.75" customHeight="1">
      <c r="A16" s="8">
        <v>13</v>
      </c>
      <c r="B16" s="14"/>
      <c r="C16" s="15"/>
      <c r="D16" s="9"/>
      <c r="E16" s="9"/>
      <c r="F16" s="9">
        <f t="shared" si="0"/>
        <v>0</v>
      </c>
      <c r="G16" s="23">
        <f t="shared" si="1"/>
        <v>0</v>
      </c>
      <c r="H16" s="23"/>
    </row>
    <row r="17" spans="1:8" ht="21.75" customHeight="1">
      <c r="A17" s="8">
        <v>14</v>
      </c>
      <c r="B17" s="14"/>
      <c r="C17" s="15"/>
      <c r="D17" s="9"/>
      <c r="E17" s="9"/>
      <c r="F17" s="9">
        <f t="shared" si="0"/>
        <v>0</v>
      </c>
      <c r="G17" s="23">
        <f t="shared" si="1"/>
        <v>0</v>
      </c>
      <c r="H17" s="23"/>
    </row>
    <row r="18" spans="1:8" ht="21.75" customHeight="1">
      <c r="A18" s="8">
        <v>15</v>
      </c>
      <c r="B18" s="14"/>
      <c r="C18" s="15"/>
      <c r="D18" s="9"/>
      <c r="E18" s="9"/>
      <c r="F18" s="9">
        <f t="shared" si="0"/>
        <v>0</v>
      </c>
      <c r="G18" s="23">
        <f t="shared" si="1"/>
        <v>0</v>
      </c>
      <c r="H18" s="23"/>
    </row>
    <row r="19" spans="1:8" ht="21.75" customHeight="1">
      <c r="A19" s="8">
        <v>16</v>
      </c>
      <c r="B19" s="14"/>
      <c r="C19" s="15"/>
      <c r="D19" s="9"/>
      <c r="E19" s="9"/>
      <c r="F19" s="9">
        <f t="shared" si="0"/>
        <v>0</v>
      </c>
      <c r="G19" s="23">
        <f t="shared" si="1"/>
        <v>0</v>
      </c>
      <c r="H19" s="23"/>
    </row>
    <row r="20" spans="1:8" ht="21.75" customHeight="1">
      <c r="A20" s="8">
        <v>17</v>
      </c>
      <c r="B20" s="14"/>
      <c r="C20" s="15"/>
      <c r="D20" s="9"/>
      <c r="E20" s="9"/>
      <c r="F20" s="9">
        <f t="shared" si="0"/>
        <v>0</v>
      </c>
      <c r="G20" s="23">
        <f t="shared" si="1"/>
        <v>0</v>
      </c>
      <c r="H20" s="23"/>
    </row>
    <row r="21" spans="1:8" ht="21.75" customHeight="1">
      <c r="A21" s="8">
        <v>18</v>
      </c>
      <c r="B21" s="14"/>
      <c r="C21" s="15"/>
      <c r="D21" s="9"/>
      <c r="E21" s="9"/>
      <c r="F21" s="9">
        <f t="shared" si="0"/>
        <v>0</v>
      </c>
      <c r="G21" s="23">
        <f t="shared" si="1"/>
        <v>0</v>
      </c>
      <c r="H21" s="23"/>
    </row>
    <row r="22" spans="1:8" ht="21.75" customHeight="1">
      <c r="A22" s="8">
        <v>19</v>
      </c>
      <c r="B22" s="14"/>
      <c r="C22" s="15"/>
      <c r="D22" s="9"/>
      <c r="E22" s="9"/>
      <c r="F22" s="9">
        <f t="shared" si="0"/>
        <v>0</v>
      </c>
      <c r="G22" s="23">
        <f t="shared" si="1"/>
        <v>0</v>
      </c>
      <c r="H22" s="23"/>
    </row>
    <row r="23" spans="1:8" ht="21.75" customHeight="1">
      <c r="A23" s="8">
        <v>20</v>
      </c>
      <c r="B23" s="14"/>
      <c r="C23" s="15"/>
      <c r="D23" s="9"/>
      <c r="E23" s="9"/>
      <c r="F23" s="9">
        <f t="shared" si="0"/>
        <v>0</v>
      </c>
      <c r="G23" s="23">
        <f t="shared" si="1"/>
        <v>0</v>
      </c>
      <c r="H23" s="27"/>
    </row>
    <row r="24" spans="1:8" ht="21.75" customHeight="1">
      <c r="A24" s="8">
        <v>21</v>
      </c>
      <c r="B24" s="14"/>
      <c r="C24" s="15"/>
      <c r="D24" s="9"/>
      <c r="E24" s="9"/>
      <c r="F24" s="9">
        <f t="shared" si="0"/>
        <v>0</v>
      </c>
      <c r="G24" s="23">
        <f t="shared" si="1"/>
        <v>0</v>
      </c>
      <c r="H24" s="23"/>
    </row>
    <row r="25" spans="1:8" ht="21.75" customHeight="1">
      <c r="A25" s="8">
        <v>22</v>
      </c>
      <c r="B25" s="14"/>
      <c r="C25" s="15"/>
      <c r="D25" s="9"/>
      <c r="E25" s="9"/>
      <c r="F25" s="9">
        <f t="shared" si="0"/>
        <v>0</v>
      </c>
      <c r="G25" s="23">
        <f t="shared" si="1"/>
        <v>0</v>
      </c>
      <c r="H25" s="23"/>
    </row>
    <row r="26" spans="1:8" ht="21.75" customHeight="1">
      <c r="A26" s="8">
        <v>23</v>
      </c>
      <c r="B26" s="14"/>
      <c r="C26" s="15"/>
      <c r="D26" s="9"/>
      <c r="E26" s="9"/>
      <c r="F26" s="9">
        <f t="shared" si="0"/>
        <v>0</v>
      </c>
      <c r="G26" s="23">
        <f t="shared" si="1"/>
        <v>0</v>
      </c>
      <c r="H26" s="23"/>
    </row>
    <row r="27" spans="1:8" ht="21.75" customHeight="1">
      <c r="A27" s="8">
        <v>24</v>
      </c>
      <c r="B27" s="14"/>
      <c r="C27" s="15"/>
      <c r="D27" s="9"/>
      <c r="E27" s="9"/>
      <c r="F27" s="9">
        <f t="shared" si="0"/>
        <v>0</v>
      </c>
      <c r="G27" s="23">
        <f t="shared" si="1"/>
        <v>0</v>
      </c>
      <c r="H27" s="23"/>
    </row>
    <row r="28" spans="1:8" ht="21.75" customHeight="1">
      <c r="A28" s="8">
        <v>25</v>
      </c>
      <c r="B28" s="14"/>
      <c r="C28" s="15"/>
      <c r="D28" s="9"/>
      <c r="E28" s="9"/>
      <c r="F28" s="9">
        <f t="shared" si="0"/>
        <v>0</v>
      </c>
      <c r="G28" s="23">
        <f t="shared" si="1"/>
        <v>0</v>
      </c>
      <c r="H28" s="23"/>
    </row>
    <row r="29" spans="1:8" ht="21.75" customHeight="1">
      <c r="A29" s="8">
        <v>26</v>
      </c>
      <c r="B29" s="14"/>
      <c r="C29" s="15"/>
      <c r="D29" s="9"/>
      <c r="E29" s="9"/>
      <c r="F29" s="9">
        <f t="shared" si="0"/>
        <v>0</v>
      </c>
      <c r="G29" s="23">
        <f t="shared" si="1"/>
        <v>0</v>
      </c>
      <c r="H29" s="23"/>
    </row>
    <row r="30" spans="1:8" ht="21.75" customHeight="1">
      <c r="A30" s="8">
        <v>27</v>
      </c>
      <c r="B30" s="14"/>
      <c r="C30" s="15"/>
      <c r="D30" s="9"/>
      <c r="E30" s="9"/>
      <c r="F30" s="9">
        <f t="shared" si="0"/>
        <v>0</v>
      </c>
      <c r="G30" s="23">
        <f t="shared" si="1"/>
        <v>0</v>
      </c>
      <c r="H30" s="23"/>
    </row>
    <row r="31" spans="1:8" ht="21.75" customHeight="1">
      <c r="A31" s="8">
        <v>28</v>
      </c>
      <c r="B31" s="14"/>
      <c r="C31" s="15"/>
      <c r="D31" s="9"/>
      <c r="E31" s="9"/>
      <c r="F31" s="9">
        <f t="shared" si="0"/>
        <v>0</v>
      </c>
      <c r="G31" s="23">
        <f t="shared" si="1"/>
        <v>0</v>
      </c>
      <c r="H31" s="23"/>
    </row>
    <row r="32" spans="1:8" ht="21.75" customHeight="1">
      <c r="A32" s="8">
        <v>29</v>
      </c>
      <c r="B32" s="14"/>
      <c r="C32" s="15"/>
      <c r="D32" s="9"/>
      <c r="E32" s="9"/>
      <c r="F32" s="9">
        <f t="shared" si="0"/>
        <v>0</v>
      </c>
      <c r="G32" s="23">
        <f t="shared" si="1"/>
        <v>0</v>
      </c>
      <c r="H32" s="23"/>
    </row>
    <row r="33" spans="1:8" ht="21.75" customHeight="1">
      <c r="A33" s="8">
        <v>30</v>
      </c>
      <c r="B33" s="14"/>
      <c r="C33" s="15"/>
      <c r="D33" s="9"/>
      <c r="E33" s="9"/>
      <c r="F33" s="9">
        <f t="shared" si="0"/>
        <v>0</v>
      </c>
      <c r="G33" s="23">
        <f t="shared" si="1"/>
        <v>0</v>
      </c>
      <c r="H33" s="23"/>
    </row>
    <row r="34" spans="1:8" ht="21.75" customHeight="1">
      <c r="A34" s="8">
        <v>31</v>
      </c>
      <c r="B34" s="14"/>
      <c r="C34" s="15"/>
      <c r="D34" s="9"/>
      <c r="E34" s="9"/>
      <c r="F34" s="9">
        <f t="shared" si="0"/>
        <v>0</v>
      </c>
      <c r="G34" s="23">
        <f t="shared" si="1"/>
        <v>0</v>
      </c>
      <c r="H34" s="23"/>
    </row>
    <row r="35" spans="1:8" ht="21.75" customHeight="1">
      <c r="A35" s="8">
        <v>32</v>
      </c>
      <c r="B35" s="14"/>
      <c r="C35" s="15"/>
      <c r="D35" s="9"/>
      <c r="E35" s="9"/>
      <c r="F35" s="9">
        <f t="shared" si="0"/>
        <v>0</v>
      </c>
      <c r="G35" s="23">
        <f t="shared" si="1"/>
        <v>0</v>
      </c>
      <c r="H35" s="23"/>
    </row>
    <row r="36" spans="1:8" ht="21.75" customHeight="1">
      <c r="A36" s="8">
        <v>33</v>
      </c>
      <c r="B36" s="14"/>
      <c r="C36" s="15"/>
      <c r="D36" s="9"/>
      <c r="E36" s="9"/>
      <c r="F36" s="9">
        <f t="shared" si="0"/>
        <v>0</v>
      </c>
      <c r="G36" s="23">
        <f t="shared" si="1"/>
        <v>0</v>
      </c>
      <c r="H36" s="23"/>
    </row>
    <row r="37" spans="1:8" ht="21.75" customHeight="1">
      <c r="A37" s="8">
        <v>34</v>
      </c>
      <c r="B37" s="14"/>
      <c r="C37" s="15"/>
      <c r="D37" s="9"/>
      <c r="E37" s="9"/>
      <c r="F37" s="9">
        <f t="shared" si="0"/>
        <v>0</v>
      </c>
      <c r="G37" s="23">
        <f t="shared" si="1"/>
        <v>0</v>
      </c>
      <c r="H37" s="23"/>
    </row>
    <row r="38" spans="1:8" ht="21.75" customHeight="1">
      <c r="A38" s="8">
        <v>35</v>
      </c>
      <c r="B38" s="14"/>
      <c r="C38" s="15"/>
      <c r="D38" s="9"/>
      <c r="E38" s="9"/>
      <c r="F38" s="9">
        <f t="shared" si="0"/>
        <v>0</v>
      </c>
      <c r="G38" s="23">
        <f t="shared" si="1"/>
        <v>0</v>
      </c>
      <c r="H38" s="23"/>
    </row>
    <row r="39" spans="1:8" ht="21.75" customHeight="1">
      <c r="A39" s="8">
        <v>36</v>
      </c>
      <c r="B39" s="14"/>
      <c r="C39" s="15"/>
      <c r="D39" s="9"/>
      <c r="E39" s="9"/>
      <c r="F39" s="9">
        <f t="shared" si="0"/>
        <v>0</v>
      </c>
      <c r="G39" s="23">
        <f t="shared" si="1"/>
        <v>0</v>
      </c>
      <c r="H39" s="23"/>
    </row>
    <row r="40" spans="1:8" ht="21.75" customHeight="1">
      <c r="A40" s="8">
        <v>37</v>
      </c>
      <c r="B40" s="14"/>
      <c r="C40" s="15"/>
      <c r="D40" s="9"/>
      <c r="E40" s="9"/>
      <c r="F40" s="9">
        <f t="shared" si="0"/>
        <v>0</v>
      </c>
      <c r="G40" s="23">
        <f t="shared" si="1"/>
        <v>0</v>
      </c>
      <c r="H40" s="23"/>
    </row>
    <row r="41" spans="1:8" ht="23.4" customHeight="1">
      <c r="A41" s="8">
        <v>38</v>
      </c>
      <c r="B41" s="14"/>
      <c r="C41" s="15"/>
      <c r="D41" s="9"/>
      <c r="E41" s="9"/>
      <c r="F41" s="9">
        <f t="shared" si="0"/>
        <v>0</v>
      </c>
      <c r="G41" s="23">
        <f t="shared" si="1"/>
        <v>0</v>
      </c>
      <c r="H41" s="23"/>
    </row>
    <row r="42" spans="1:8" ht="22.5" customHeight="1">
      <c r="A42" s="8">
        <v>39</v>
      </c>
      <c r="B42" s="14"/>
      <c r="C42" s="15"/>
      <c r="D42" s="9"/>
      <c r="E42" s="9"/>
      <c r="F42" s="9">
        <f t="shared" si="0"/>
        <v>0</v>
      </c>
      <c r="G42" s="23">
        <f t="shared" si="1"/>
        <v>0</v>
      </c>
      <c r="H42" s="23"/>
    </row>
    <row r="43" spans="1:8" ht="25.2" customHeight="1">
      <c r="A43" s="8">
        <v>40</v>
      </c>
      <c r="B43" s="14"/>
      <c r="C43" s="15"/>
      <c r="D43" s="9"/>
      <c r="E43" s="9"/>
      <c r="F43" s="9">
        <f t="shared" si="0"/>
        <v>0</v>
      </c>
      <c r="G43" s="23">
        <f t="shared" si="1"/>
        <v>0</v>
      </c>
      <c r="H43" s="23"/>
    </row>
  </sheetData>
  <mergeCells count="8">
    <mergeCell ref="L8:M8"/>
    <mergeCell ref="N8:O8"/>
    <mergeCell ref="A1:C2"/>
    <mergeCell ref="L6:O6"/>
    <mergeCell ref="L7:M7"/>
    <mergeCell ref="N7:O7"/>
    <mergeCell ref="F1:H2"/>
    <mergeCell ref="D1:E2"/>
  </mergeCells>
  <conditionalFormatting sqref="D4:F43">
    <cfRule type="containsText" dxfId="15" priority="1" operator="containsText" text="A">
      <formula>NOT(ISERROR(SEARCH("A",D4)))</formula>
    </cfRule>
    <cfRule type="containsText" dxfId="14" priority="2" operator="containsText" text="P">
      <formula>NOT(ISERROR(SEARCH("P",D4)))</formula>
    </cfRule>
    <cfRule type="containsText" dxfId="13" priority="3" operator="containsText" text="A">
      <formula>NOT(ISERROR(SEARCH("A",D4)))</formula>
    </cfRule>
    <cfRule type="containsText" dxfId="12" priority="4" operator="containsText" text="P">
      <formula>NOT(ISERROR(SEARCH("P",D4)))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A3DE-EE42-431C-8F1D-8D057F3E6FA8}">
  <sheetPr codeName="Sheet4"/>
  <dimension ref="A1:O43"/>
  <sheetViews>
    <sheetView workbookViewId="0">
      <selection sqref="A1:C2"/>
    </sheetView>
  </sheetViews>
  <sheetFormatPr defaultRowHeight="14.4"/>
  <cols>
    <col min="2" max="2" width="10.44140625" bestFit="1" customWidth="1"/>
    <col min="3" max="3" width="30.6640625" bestFit="1" customWidth="1"/>
    <col min="4" max="4" width="15.109375" customWidth="1"/>
    <col min="5" max="5" width="16.33203125" customWidth="1"/>
    <col min="6" max="6" width="10" bestFit="1" customWidth="1"/>
    <col min="7" max="7" width="10.88671875" bestFit="1" customWidth="1"/>
  </cols>
  <sheetData>
    <row r="1" spans="1:15">
      <c r="A1" s="31" t="s">
        <v>42</v>
      </c>
      <c r="B1" s="31"/>
      <c r="C1" s="31"/>
      <c r="D1" s="34" t="s">
        <v>7</v>
      </c>
      <c r="E1" s="35"/>
      <c r="F1" s="38"/>
      <c r="G1" s="39"/>
      <c r="H1" s="40"/>
    </row>
    <row r="2" spans="1:15">
      <c r="A2" s="31"/>
      <c r="B2" s="31"/>
      <c r="C2" s="31"/>
      <c r="D2" s="36"/>
      <c r="E2" s="37"/>
      <c r="F2" s="41"/>
      <c r="G2" s="42"/>
      <c r="H2" s="43"/>
    </row>
    <row r="3" spans="1:15">
      <c r="A3" s="5" t="s">
        <v>0</v>
      </c>
      <c r="B3" s="5" t="s">
        <v>1</v>
      </c>
      <c r="C3" s="5" t="s">
        <v>2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17</v>
      </c>
    </row>
    <row r="4" spans="1:15" ht="21.75" customHeight="1">
      <c r="A4" s="8">
        <v>1</v>
      </c>
      <c r="B4" s="14"/>
      <c r="C4" s="15"/>
      <c r="D4" s="9"/>
      <c r="E4" s="9"/>
      <c r="F4" s="9">
        <f>(MAX(D4,E4))</f>
        <v>0</v>
      </c>
      <c r="G4" s="23">
        <f>(MAX(D4, E4) / $L$8) * $N$8</f>
        <v>0</v>
      </c>
      <c r="H4" s="23"/>
    </row>
    <row r="5" spans="1:15" ht="21.75" customHeight="1">
      <c r="A5" s="8">
        <v>2</v>
      </c>
      <c r="B5" s="14"/>
      <c r="C5" s="15"/>
      <c r="D5" s="9"/>
      <c r="E5" s="9"/>
      <c r="F5" s="9">
        <f t="shared" ref="F5:F43" si="0">(MAX(D5,E5))</f>
        <v>0</v>
      </c>
      <c r="G5" s="23">
        <f t="shared" ref="G5:G43" si="1">(MAX(D5, E5) / $L$8) * $N$8</f>
        <v>0</v>
      </c>
      <c r="H5" s="23"/>
    </row>
    <row r="6" spans="1:15" ht="21.75" customHeight="1">
      <c r="A6" s="8">
        <v>3</v>
      </c>
      <c r="B6" s="14"/>
      <c r="C6" s="15"/>
      <c r="D6" s="9"/>
      <c r="E6" s="9"/>
      <c r="F6" s="9">
        <f t="shared" si="0"/>
        <v>0</v>
      </c>
      <c r="G6" s="23">
        <f t="shared" si="1"/>
        <v>0</v>
      </c>
      <c r="H6" s="23"/>
      <c r="L6" s="33" t="s">
        <v>32</v>
      </c>
      <c r="M6" s="33"/>
      <c r="N6" s="33"/>
      <c r="O6" s="33"/>
    </row>
    <row r="7" spans="1:15" ht="21.75" customHeight="1">
      <c r="A7" s="8">
        <v>4</v>
      </c>
      <c r="B7" s="14"/>
      <c r="C7" s="15"/>
      <c r="D7" s="9"/>
      <c r="E7" s="9"/>
      <c r="F7" s="9">
        <f t="shared" si="0"/>
        <v>0</v>
      </c>
      <c r="G7" s="23">
        <f t="shared" si="1"/>
        <v>0</v>
      </c>
      <c r="H7" s="23"/>
      <c r="L7" s="30" t="s">
        <v>33</v>
      </c>
      <c r="M7" s="30"/>
      <c r="N7" s="30" t="s">
        <v>34</v>
      </c>
      <c r="O7" s="30"/>
    </row>
    <row r="8" spans="1:15" ht="21.75" customHeight="1">
      <c r="A8" s="8">
        <v>5</v>
      </c>
      <c r="B8" s="14"/>
      <c r="C8" s="15"/>
      <c r="D8" s="9"/>
      <c r="E8" s="9"/>
      <c r="F8" s="9">
        <f t="shared" si="0"/>
        <v>0</v>
      </c>
      <c r="G8" s="23">
        <f t="shared" si="1"/>
        <v>0</v>
      </c>
      <c r="H8" s="23"/>
      <c r="L8" s="30">
        <v>30</v>
      </c>
      <c r="M8" s="30"/>
      <c r="N8" s="30">
        <v>15</v>
      </c>
      <c r="O8" s="30"/>
    </row>
    <row r="9" spans="1:15" ht="21.75" customHeight="1">
      <c r="A9" s="8">
        <v>6</v>
      </c>
      <c r="B9" s="14"/>
      <c r="C9" s="15"/>
      <c r="D9" s="9"/>
      <c r="E9" s="9"/>
      <c r="F9" s="9">
        <f t="shared" si="0"/>
        <v>0</v>
      </c>
      <c r="G9" s="23">
        <f t="shared" si="1"/>
        <v>0</v>
      </c>
      <c r="H9" s="23"/>
    </row>
    <row r="10" spans="1:15" ht="21.75" customHeight="1">
      <c r="A10" s="8">
        <v>7</v>
      </c>
      <c r="B10" s="14"/>
      <c r="C10" s="15"/>
      <c r="D10" s="9"/>
      <c r="E10" s="9"/>
      <c r="F10" s="9">
        <f t="shared" si="0"/>
        <v>0</v>
      </c>
      <c r="G10" s="23">
        <f t="shared" si="1"/>
        <v>0</v>
      </c>
      <c r="H10" s="23"/>
    </row>
    <row r="11" spans="1:15" ht="21.75" customHeight="1">
      <c r="A11" s="8">
        <v>8</v>
      </c>
      <c r="B11" s="14"/>
      <c r="C11" s="15"/>
      <c r="D11" s="9"/>
      <c r="E11" s="9"/>
      <c r="F11" s="9">
        <f t="shared" si="0"/>
        <v>0</v>
      </c>
      <c r="G11" s="23">
        <f t="shared" si="1"/>
        <v>0</v>
      </c>
      <c r="H11" s="23"/>
    </row>
    <row r="12" spans="1:15" ht="21.75" customHeight="1">
      <c r="A12" s="8">
        <v>9</v>
      </c>
      <c r="B12" s="14"/>
      <c r="C12" s="15"/>
      <c r="D12" s="9"/>
      <c r="E12" s="9"/>
      <c r="F12" s="9">
        <f t="shared" si="0"/>
        <v>0</v>
      </c>
      <c r="G12" s="23">
        <f t="shared" si="1"/>
        <v>0</v>
      </c>
      <c r="H12" s="23"/>
    </row>
    <row r="13" spans="1:15" ht="21.75" customHeight="1">
      <c r="A13" s="8">
        <v>10</v>
      </c>
      <c r="B13" s="14"/>
      <c r="C13" s="15"/>
      <c r="D13" s="9"/>
      <c r="E13" s="9"/>
      <c r="F13" s="9">
        <f t="shared" si="0"/>
        <v>0</v>
      </c>
      <c r="G13" s="23">
        <f t="shared" si="1"/>
        <v>0</v>
      </c>
      <c r="H13" s="23"/>
    </row>
    <row r="14" spans="1:15" ht="21.75" customHeight="1">
      <c r="A14" s="8">
        <v>11</v>
      </c>
      <c r="B14" s="14"/>
      <c r="C14" s="15"/>
      <c r="D14" s="9"/>
      <c r="E14" s="9"/>
      <c r="F14" s="9">
        <f t="shared" si="0"/>
        <v>0</v>
      </c>
      <c r="G14" s="23">
        <f t="shared" si="1"/>
        <v>0</v>
      </c>
      <c r="H14" s="23"/>
    </row>
    <row r="15" spans="1:15" ht="21.75" customHeight="1">
      <c r="A15" s="8">
        <v>12</v>
      </c>
      <c r="B15" s="14"/>
      <c r="C15" s="15"/>
      <c r="D15" s="9"/>
      <c r="E15" s="9"/>
      <c r="F15" s="9">
        <f t="shared" si="0"/>
        <v>0</v>
      </c>
      <c r="G15" s="23">
        <f t="shared" si="1"/>
        <v>0</v>
      </c>
      <c r="H15" s="23"/>
    </row>
    <row r="16" spans="1:15" ht="21.75" customHeight="1">
      <c r="A16" s="8">
        <v>13</v>
      </c>
      <c r="B16" s="14"/>
      <c r="C16" s="15"/>
      <c r="D16" s="9"/>
      <c r="E16" s="9"/>
      <c r="F16" s="9">
        <f t="shared" si="0"/>
        <v>0</v>
      </c>
      <c r="G16" s="23">
        <f t="shared" si="1"/>
        <v>0</v>
      </c>
      <c r="H16" s="23"/>
    </row>
    <row r="17" spans="1:8" ht="21.75" customHeight="1">
      <c r="A17" s="8">
        <v>14</v>
      </c>
      <c r="B17" s="14"/>
      <c r="C17" s="15"/>
      <c r="D17" s="9"/>
      <c r="E17" s="9"/>
      <c r="F17" s="9">
        <f t="shared" si="0"/>
        <v>0</v>
      </c>
      <c r="G17" s="23">
        <f t="shared" si="1"/>
        <v>0</v>
      </c>
      <c r="H17" s="23"/>
    </row>
    <row r="18" spans="1:8" ht="21.75" customHeight="1">
      <c r="A18" s="8">
        <v>15</v>
      </c>
      <c r="B18" s="14"/>
      <c r="C18" s="15"/>
      <c r="D18" s="9"/>
      <c r="E18" s="9"/>
      <c r="F18" s="9">
        <f t="shared" si="0"/>
        <v>0</v>
      </c>
      <c r="G18" s="23">
        <f t="shared" si="1"/>
        <v>0</v>
      </c>
      <c r="H18" s="23"/>
    </row>
    <row r="19" spans="1:8" ht="21.75" customHeight="1">
      <c r="A19" s="8">
        <v>16</v>
      </c>
      <c r="B19" s="14"/>
      <c r="C19" s="15"/>
      <c r="D19" s="9"/>
      <c r="E19" s="9"/>
      <c r="F19" s="9">
        <f t="shared" si="0"/>
        <v>0</v>
      </c>
      <c r="G19" s="23">
        <f t="shared" si="1"/>
        <v>0</v>
      </c>
      <c r="H19" s="23"/>
    </row>
    <row r="20" spans="1:8" ht="21.75" customHeight="1">
      <c r="A20" s="8">
        <v>17</v>
      </c>
      <c r="B20" s="14"/>
      <c r="C20" s="15"/>
      <c r="D20" s="9"/>
      <c r="E20" s="9"/>
      <c r="F20" s="9">
        <f t="shared" si="0"/>
        <v>0</v>
      </c>
      <c r="G20" s="23">
        <f t="shared" si="1"/>
        <v>0</v>
      </c>
      <c r="H20" s="23"/>
    </row>
    <row r="21" spans="1:8" ht="21.75" customHeight="1">
      <c r="A21" s="8">
        <v>18</v>
      </c>
      <c r="B21" s="14"/>
      <c r="C21" s="15"/>
      <c r="D21" s="9"/>
      <c r="E21" s="9"/>
      <c r="F21" s="9">
        <f t="shared" si="0"/>
        <v>0</v>
      </c>
      <c r="G21" s="23">
        <f t="shared" si="1"/>
        <v>0</v>
      </c>
      <c r="H21" s="23"/>
    </row>
    <row r="22" spans="1:8" ht="21.75" customHeight="1">
      <c r="A22" s="8">
        <v>19</v>
      </c>
      <c r="B22" s="14"/>
      <c r="C22" s="15"/>
      <c r="D22" s="9"/>
      <c r="E22" s="9"/>
      <c r="F22" s="9">
        <f t="shared" si="0"/>
        <v>0</v>
      </c>
      <c r="G22" s="23">
        <f t="shared" si="1"/>
        <v>0</v>
      </c>
      <c r="H22" s="23"/>
    </row>
    <row r="23" spans="1:8" ht="21.75" customHeight="1">
      <c r="A23" s="8">
        <v>20</v>
      </c>
      <c r="B23" s="14"/>
      <c r="C23" s="15"/>
      <c r="D23" s="9"/>
      <c r="E23" s="9"/>
      <c r="F23" s="9">
        <f t="shared" si="0"/>
        <v>0</v>
      </c>
      <c r="G23" s="23">
        <f t="shared" si="1"/>
        <v>0</v>
      </c>
      <c r="H23" s="27"/>
    </row>
    <row r="24" spans="1:8" ht="21.75" customHeight="1">
      <c r="A24" s="8">
        <v>21</v>
      </c>
      <c r="B24" s="14"/>
      <c r="C24" s="15"/>
      <c r="D24" s="9"/>
      <c r="E24" s="9"/>
      <c r="F24" s="9">
        <f t="shared" si="0"/>
        <v>0</v>
      </c>
      <c r="G24" s="23">
        <f t="shared" si="1"/>
        <v>0</v>
      </c>
      <c r="H24" s="23"/>
    </row>
    <row r="25" spans="1:8" ht="21.75" customHeight="1">
      <c r="A25" s="8">
        <v>22</v>
      </c>
      <c r="B25" s="14"/>
      <c r="C25" s="15"/>
      <c r="D25" s="9"/>
      <c r="E25" s="9"/>
      <c r="F25" s="9">
        <f t="shared" si="0"/>
        <v>0</v>
      </c>
      <c r="G25" s="23">
        <f t="shared" si="1"/>
        <v>0</v>
      </c>
      <c r="H25" s="23"/>
    </row>
    <row r="26" spans="1:8" ht="21.75" customHeight="1">
      <c r="A26" s="8">
        <v>23</v>
      </c>
      <c r="B26" s="14"/>
      <c r="C26" s="15"/>
      <c r="D26" s="9"/>
      <c r="E26" s="9"/>
      <c r="F26" s="9">
        <f t="shared" si="0"/>
        <v>0</v>
      </c>
      <c r="G26" s="23">
        <f t="shared" si="1"/>
        <v>0</v>
      </c>
      <c r="H26" s="23"/>
    </row>
    <row r="27" spans="1:8" ht="21.75" customHeight="1">
      <c r="A27" s="8">
        <v>24</v>
      </c>
      <c r="B27" s="14"/>
      <c r="C27" s="15"/>
      <c r="D27" s="9"/>
      <c r="E27" s="9"/>
      <c r="F27" s="9">
        <f t="shared" si="0"/>
        <v>0</v>
      </c>
      <c r="G27" s="23">
        <f t="shared" si="1"/>
        <v>0</v>
      </c>
      <c r="H27" s="23"/>
    </row>
    <row r="28" spans="1:8" ht="21.75" customHeight="1">
      <c r="A28" s="8">
        <v>25</v>
      </c>
      <c r="B28" s="14"/>
      <c r="C28" s="15"/>
      <c r="D28" s="9"/>
      <c r="E28" s="9"/>
      <c r="F28" s="9">
        <f t="shared" si="0"/>
        <v>0</v>
      </c>
      <c r="G28" s="23">
        <f t="shared" si="1"/>
        <v>0</v>
      </c>
      <c r="H28" s="23"/>
    </row>
    <row r="29" spans="1:8" ht="21.75" customHeight="1">
      <c r="A29" s="8">
        <v>26</v>
      </c>
      <c r="B29" s="14"/>
      <c r="C29" s="15"/>
      <c r="D29" s="9"/>
      <c r="E29" s="9"/>
      <c r="F29" s="9">
        <f t="shared" si="0"/>
        <v>0</v>
      </c>
      <c r="G29" s="23">
        <f t="shared" si="1"/>
        <v>0</v>
      </c>
      <c r="H29" s="23"/>
    </row>
    <row r="30" spans="1:8" ht="21.75" customHeight="1">
      <c r="A30" s="8">
        <v>27</v>
      </c>
      <c r="B30" s="14"/>
      <c r="C30" s="15"/>
      <c r="D30" s="9"/>
      <c r="E30" s="9"/>
      <c r="F30" s="9">
        <f t="shared" si="0"/>
        <v>0</v>
      </c>
      <c r="G30" s="23">
        <f t="shared" si="1"/>
        <v>0</v>
      </c>
      <c r="H30" s="23"/>
    </row>
    <row r="31" spans="1:8" ht="21.75" customHeight="1">
      <c r="A31" s="8">
        <v>28</v>
      </c>
      <c r="B31" s="14"/>
      <c r="C31" s="15"/>
      <c r="D31" s="9"/>
      <c r="E31" s="9"/>
      <c r="F31" s="9">
        <f t="shared" si="0"/>
        <v>0</v>
      </c>
      <c r="G31" s="23">
        <f t="shared" si="1"/>
        <v>0</v>
      </c>
      <c r="H31" s="23"/>
    </row>
    <row r="32" spans="1:8" ht="21.75" customHeight="1">
      <c r="A32" s="8">
        <v>29</v>
      </c>
      <c r="B32" s="14"/>
      <c r="C32" s="15"/>
      <c r="D32" s="9"/>
      <c r="E32" s="9"/>
      <c r="F32" s="9">
        <f t="shared" si="0"/>
        <v>0</v>
      </c>
      <c r="G32" s="23">
        <f t="shared" si="1"/>
        <v>0</v>
      </c>
      <c r="H32" s="23"/>
    </row>
    <row r="33" spans="1:8" ht="21.75" customHeight="1">
      <c r="A33" s="8">
        <v>30</v>
      </c>
      <c r="B33" s="14"/>
      <c r="C33" s="15"/>
      <c r="D33" s="9"/>
      <c r="E33" s="9"/>
      <c r="F33" s="9">
        <f t="shared" si="0"/>
        <v>0</v>
      </c>
      <c r="G33" s="23">
        <f t="shared" si="1"/>
        <v>0</v>
      </c>
      <c r="H33" s="23"/>
    </row>
    <row r="34" spans="1:8" ht="21.75" customHeight="1">
      <c r="A34" s="8">
        <v>31</v>
      </c>
      <c r="B34" s="14"/>
      <c r="C34" s="15"/>
      <c r="D34" s="9"/>
      <c r="E34" s="9"/>
      <c r="F34" s="9">
        <f t="shared" si="0"/>
        <v>0</v>
      </c>
      <c r="G34" s="23">
        <f t="shared" si="1"/>
        <v>0</v>
      </c>
      <c r="H34" s="23"/>
    </row>
    <row r="35" spans="1:8" ht="21.75" customHeight="1">
      <c r="A35" s="8">
        <v>32</v>
      </c>
      <c r="B35" s="14"/>
      <c r="C35" s="15"/>
      <c r="D35" s="9"/>
      <c r="E35" s="9"/>
      <c r="F35" s="9">
        <f t="shared" si="0"/>
        <v>0</v>
      </c>
      <c r="G35" s="23">
        <f t="shared" si="1"/>
        <v>0</v>
      </c>
      <c r="H35" s="23"/>
    </row>
    <row r="36" spans="1:8" ht="21.75" customHeight="1">
      <c r="A36" s="8">
        <v>33</v>
      </c>
      <c r="B36" s="14"/>
      <c r="C36" s="15"/>
      <c r="D36" s="9"/>
      <c r="E36" s="9"/>
      <c r="F36" s="9">
        <f t="shared" si="0"/>
        <v>0</v>
      </c>
      <c r="G36" s="23">
        <f t="shared" si="1"/>
        <v>0</v>
      </c>
      <c r="H36" s="23"/>
    </row>
    <row r="37" spans="1:8" ht="21.75" customHeight="1">
      <c r="A37" s="8">
        <v>34</v>
      </c>
      <c r="B37" s="14"/>
      <c r="C37" s="15"/>
      <c r="D37" s="9"/>
      <c r="E37" s="9"/>
      <c r="F37" s="9">
        <f t="shared" si="0"/>
        <v>0</v>
      </c>
      <c r="G37" s="23">
        <f t="shared" si="1"/>
        <v>0</v>
      </c>
      <c r="H37" s="23"/>
    </row>
    <row r="38" spans="1:8" ht="21.75" customHeight="1">
      <c r="A38" s="8">
        <v>35</v>
      </c>
      <c r="B38" s="14"/>
      <c r="C38" s="15"/>
      <c r="D38" s="9"/>
      <c r="E38" s="9"/>
      <c r="F38" s="9">
        <f t="shared" si="0"/>
        <v>0</v>
      </c>
      <c r="G38" s="23">
        <f t="shared" si="1"/>
        <v>0</v>
      </c>
      <c r="H38" s="23"/>
    </row>
    <row r="39" spans="1:8" ht="21.75" customHeight="1">
      <c r="A39" s="8">
        <v>36</v>
      </c>
      <c r="B39" s="14"/>
      <c r="C39" s="15"/>
      <c r="D39" s="9"/>
      <c r="E39" s="9"/>
      <c r="F39" s="9">
        <f t="shared" si="0"/>
        <v>0</v>
      </c>
      <c r="G39" s="23">
        <f t="shared" si="1"/>
        <v>0</v>
      </c>
      <c r="H39" s="23"/>
    </row>
    <row r="40" spans="1:8" ht="21.75" customHeight="1">
      <c r="A40" s="8">
        <v>37</v>
      </c>
      <c r="B40" s="14"/>
      <c r="C40" s="15"/>
      <c r="D40" s="9"/>
      <c r="E40" s="9"/>
      <c r="F40" s="9">
        <f t="shared" si="0"/>
        <v>0</v>
      </c>
      <c r="G40" s="23">
        <f t="shared" si="1"/>
        <v>0</v>
      </c>
      <c r="H40" s="23"/>
    </row>
    <row r="41" spans="1:8">
      <c r="A41" s="8">
        <v>38</v>
      </c>
      <c r="B41" s="14"/>
      <c r="C41" s="15"/>
      <c r="D41" s="9"/>
      <c r="E41" s="9"/>
      <c r="F41" s="9">
        <f t="shared" si="0"/>
        <v>0</v>
      </c>
      <c r="G41" s="23">
        <f t="shared" si="1"/>
        <v>0</v>
      </c>
      <c r="H41" s="23"/>
    </row>
    <row r="42" spans="1:8">
      <c r="A42" s="8">
        <v>39</v>
      </c>
      <c r="B42" s="14"/>
      <c r="C42" s="15"/>
      <c r="D42" s="9"/>
      <c r="E42" s="9"/>
      <c r="F42" s="9">
        <f t="shared" si="0"/>
        <v>0</v>
      </c>
      <c r="G42" s="23">
        <f t="shared" si="1"/>
        <v>0</v>
      </c>
      <c r="H42" s="23"/>
    </row>
    <row r="43" spans="1:8">
      <c r="A43" s="8">
        <v>40</v>
      </c>
      <c r="B43" s="14"/>
      <c r="C43" s="15"/>
      <c r="D43" s="9"/>
      <c r="E43" s="9"/>
      <c r="F43" s="9">
        <f t="shared" si="0"/>
        <v>0</v>
      </c>
      <c r="G43" s="23">
        <f t="shared" si="1"/>
        <v>0</v>
      </c>
      <c r="H43" s="23"/>
    </row>
  </sheetData>
  <mergeCells count="8">
    <mergeCell ref="L8:M8"/>
    <mergeCell ref="N8:O8"/>
    <mergeCell ref="A1:C2"/>
    <mergeCell ref="D1:E2"/>
    <mergeCell ref="F1:H2"/>
    <mergeCell ref="L6:O6"/>
    <mergeCell ref="L7:M7"/>
    <mergeCell ref="N7:O7"/>
  </mergeCells>
  <conditionalFormatting sqref="D4:F43">
    <cfRule type="containsText" dxfId="7" priority="1" operator="containsText" text="A">
      <formula>NOT(ISERROR(SEARCH("A",D4)))</formula>
    </cfRule>
    <cfRule type="containsText" dxfId="6" priority="2" operator="containsText" text="P">
      <formula>NOT(ISERROR(SEARCH("P",D4)))</formula>
    </cfRule>
    <cfRule type="containsText" dxfId="5" priority="3" operator="containsText" text="A">
      <formula>NOT(ISERROR(SEARCH("A",D4)))</formula>
    </cfRule>
    <cfRule type="containsText" dxfId="4" priority="4" operator="containsText" text="P">
      <formula>NOT(ISERROR(SEARCH("P",D4)))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FEAD-8831-4FCA-A2E9-9D3AEA38ED99}">
  <dimension ref="A1:O43"/>
  <sheetViews>
    <sheetView tabSelected="1" workbookViewId="0">
      <selection activeCell="D4" sqref="D4"/>
    </sheetView>
  </sheetViews>
  <sheetFormatPr defaultRowHeight="14.4"/>
  <cols>
    <col min="2" max="2" width="10.44140625" bestFit="1" customWidth="1"/>
    <col min="3" max="3" width="34.6640625" bestFit="1" customWidth="1"/>
    <col min="4" max="4" width="24.6640625" customWidth="1"/>
    <col min="5" max="5" width="17" customWidth="1"/>
    <col min="6" max="6" width="18.44140625" customWidth="1"/>
    <col min="7" max="7" width="10" bestFit="1" customWidth="1"/>
    <col min="8" max="8" width="10.88671875" bestFit="1" customWidth="1"/>
  </cols>
  <sheetData>
    <row r="1" spans="1:15">
      <c r="A1" s="31" t="s">
        <v>43</v>
      </c>
      <c r="B1" s="31"/>
      <c r="C1" s="31"/>
      <c r="D1" s="45" t="s">
        <v>44</v>
      </c>
      <c r="E1" s="44"/>
      <c r="F1" s="44"/>
      <c r="G1" s="20"/>
      <c r="H1" s="20"/>
      <c r="I1" s="20"/>
    </row>
    <row r="2" spans="1:15">
      <c r="A2" s="31"/>
      <c r="B2" s="31"/>
      <c r="C2" s="31"/>
      <c r="D2" s="32"/>
      <c r="E2" s="44"/>
      <c r="F2" s="44"/>
      <c r="G2" s="20"/>
      <c r="H2" s="20"/>
      <c r="I2" s="20"/>
    </row>
    <row r="3" spans="1:15">
      <c r="A3" s="5" t="s">
        <v>0</v>
      </c>
      <c r="B3" s="5" t="s">
        <v>1</v>
      </c>
      <c r="C3" s="5" t="s">
        <v>2</v>
      </c>
      <c r="D3" s="5"/>
      <c r="E3" s="6" t="s">
        <v>20</v>
      </c>
      <c r="F3" s="6" t="s">
        <v>21</v>
      </c>
      <c r="G3" s="18"/>
      <c r="H3" s="18"/>
      <c r="I3" s="18"/>
    </row>
    <row r="4" spans="1:15">
      <c r="A4" s="8">
        <v>1</v>
      </c>
      <c r="B4" s="14"/>
      <c r="C4" s="15"/>
      <c r="D4" s="24"/>
      <c r="E4" s="9" t="str" cm="1">
        <f t="array" ref="E4">IF(D4="", "", ROUNDUP(SUM(_xlfn.FILTERXML("&lt;t&gt;&lt;s&gt;" &amp; SUBSTITUTE(D4, ",", "&lt;/s&gt;&lt;s&gt;") &amp; "&lt;/s&gt;&lt;/t&gt;", "//s")) * ($L$8 / $N$8), 0))</f>
        <v/>
      </c>
      <c r="F4" s="9" t="str" cm="1">
        <f t="array" ref="F4">IF(D4="", "", ROUNDUP(SUM(_xlfn.FILTERXML("&lt;t&gt;&lt;s&gt;" &amp; SUBSTITUTE(D4, ",", "&lt;/s&gt;&lt;s&gt;") &amp; "&lt;/s&gt;&lt;/t&gt;", "//s")) * ($L$8 / $N$8), 0))</f>
        <v/>
      </c>
      <c r="G4" s="19"/>
    </row>
    <row r="5" spans="1:15">
      <c r="A5" s="8">
        <v>2</v>
      </c>
      <c r="B5" s="14"/>
      <c r="C5" s="15"/>
      <c r="D5" s="24"/>
      <c r="E5" s="9" t="str" cm="1">
        <f t="array" ref="E5">IF(D5="", "", ROUNDUP(SUM(_xlfn.FILTERXML("&lt;t&gt;&lt;s&gt;" &amp; SUBSTITUTE(D5, ",", "&lt;/s&gt;&lt;s&gt;") &amp; "&lt;/s&gt;&lt;/t&gt;", "//s")) * ($L$8 / $N$8), 0))</f>
        <v/>
      </c>
      <c r="F5" s="9" t="str" cm="1">
        <f t="array" ref="F5">IF(D5="", "", ROUNDUP(SUM(_xlfn.FILTERXML("&lt;t&gt;&lt;s&gt;" &amp; SUBSTITUTE(D5, ",", "&lt;/s&gt;&lt;s&gt;") &amp; "&lt;/s&gt;&lt;/t&gt;", "//s")) * ($L$8 / $N$8), 0))</f>
        <v/>
      </c>
      <c r="G5" s="19"/>
    </row>
    <row r="6" spans="1:15">
      <c r="A6" s="8">
        <v>3</v>
      </c>
      <c r="B6" s="14"/>
      <c r="C6" s="15"/>
      <c r="D6" s="24"/>
      <c r="E6" s="9" t="str" cm="1">
        <f t="array" ref="E6">IF(D6="", "", ROUNDUP(SUM(_xlfn.FILTERXML("&lt;t&gt;&lt;s&gt;" &amp; SUBSTITUTE(D6, ",", "&lt;/s&gt;&lt;s&gt;") &amp; "&lt;/s&gt;&lt;/t&gt;", "//s")) * ($L$8 / $N$8), 0))</f>
        <v/>
      </c>
      <c r="F6" s="9" t="str" cm="1">
        <f t="array" ref="F6">IF(D6="", "", ROUNDUP(SUM(_xlfn.FILTERXML("&lt;t&gt;&lt;s&gt;" &amp; SUBSTITUTE(D6, ",", "&lt;/s&gt;&lt;s&gt;") &amp; "&lt;/s&gt;&lt;/t&gt;", "//s")) * ($L$8 / $N$8), 0))</f>
        <v/>
      </c>
      <c r="G6" s="19"/>
      <c r="L6" s="33" t="s">
        <v>32</v>
      </c>
      <c r="M6" s="33"/>
      <c r="N6" s="33"/>
      <c r="O6" s="33"/>
    </row>
    <row r="7" spans="1:15">
      <c r="A7" s="8">
        <v>4</v>
      </c>
      <c r="B7" s="14"/>
      <c r="C7" s="15"/>
      <c r="D7" s="24"/>
      <c r="E7" s="9" t="str" cm="1">
        <f t="array" ref="E7">IF(D7="", "", ROUNDUP(SUM(_xlfn.FILTERXML("&lt;t&gt;&lt;s&gt;" &amp; SUBSTITUTE(D7, ",", "&lt;/s&gt;&lt;s&gt;") &amp; "&lt;/s&gt;&lt;/t&gt;", "//s")) * ($L$8 / $N$8), 0))</f>
        <v/>
      </c>
      <c r="F7" s="9" t="str" cm="1">
        <f t="array" ref="F7">IF(D7="", "", ROUNDUP(SUM(_xlfn.FILTERXML("&lt;t&gt;&lt;s&gt;" &amp; SUBSTITUTE(D7, ",", "&lt;/s&gt;&lt;s&gt;") &amp; "&lt;/s&gt;&lt;/t&gt;", "//s")) * ($L$8 / $N$8), 0))</f>
        <v/>
      </c>
      <c r="G7" s="19"/>
      <c r="L7" s="30" t="s">
        <v>62</v>
      </c>
      <c r="M7" s="30"/>
      <c r="N7" s="30" t="s">
        <v>63</v>
      </c>
      <c r="O7" s="30"/>
    </row>
    <row r="8" spans="1:15">
      <c r="A8" s="8">
        <v>5</v>
      </c>
      <c r="B8" s="14"/>
      <c r="C8" s="15"/>
      <c r="D8" s="24"/>
      <c r="E8" s="9" t="str" cm="1">
        <f t="array" ref="E8">IF(D8="", "", ROUNDUP(SUM(_xlfn.FILTERXML("&lt;t&gt;&lt;s&gt;" &amp; SUBSTITUTE(D8, ",", "&lt;/s&gt;&lt;s&gt;") &amp; "&lt;/s&gt;&lt;/t&gt;", "//s")) * ($L$8 / $N$8), 0))</f>
        <v/>
      </c>
      <c r="F8" s="9" t="str" cm="1">
        <f t="array" ref="F8">IF(D8="", "", ROUNDUP(SUM(_xlfn.FILTERXML("&lt;t&gt;&lt;s&gt;" &amp; SUBSTITUTE(D8, ",", "&lt;/s&gt;&lt;s&gt;") &amp; "&lt;/s&gt;&lt;/t&gt;", "//s")) * ($L$8 / $N$8), 0))</f>
        <v/>
      </c>
      <c r="G8" s="19"/>
      <c r="L8" s="30">
        <v>20</v>
      </c>
      <c r="M8" s="30"/>
      <c r="N8" s="30">
        <v>5</v>
      </c>
      <c r="O8" s="30"/>
    </row>
    <row r="9" spans="1:15">
      <c r="A9" s="8">
        <v>6</v>
      </c>
      <c r="B9" s="14"/>
      <c r="C9" s="15"/>
      <c r="D9" s="24"/>
      <c r="E9" s="9" t="str" cm="1">
        <f t="array" ref="E9">IF(D9="", "", ROUNDUP(SUM(_xlfn.FILTERXML("&lt;t&gt;&lt;s&gt;" &amp; SUBSTITUTE(D9, ",", "&lt;/s&gt;&lt;s&gt;") &amp; "&lt;/s&gt;&lt;/t&gt;", "//s")) * ($L$8 / $N$8), 0))</f>
        <v/>
      </c>
      <c r="F9" s="9" t="str" cm="1">
        <f t="array" ref="F9">IF(D9="", "", ROUNDUP(SUM(_xlfn.FILTERXML("&lt;t&gt;&lt;s&gt;" &amp; SUBSTITUTE(D9, ",", "&lt;/s&gt;&lt;s&gt;") &amp; "&lt;/s&gt;&lt;/t&gt;", "//s")) * ($L$8 / $N$8), 0))</f>
        <v/>
      </c>
      <c r="G9" s="19"/>
    </row>
    <row r="10" spans="1:15">
      <c r="A10" s="8">
        <v>7</v>
      </c>
      <c r="B10" s="14"/>
      <c r="C10" s="15"/>
      <c r="D10" s="24"/>
      <c r="E10" s="9" t="str" cm="1">
        <f t="array" ref="E10">IF(D10="", "", ROUNDUP(SUM(_xlfn.FILTERXML("&lt;t&gt;&lt;s&gt;" &amp; SUBSTITUTE(D10, ",", "&lt;/s&gt;&lt;s&gt;") &amp; "&lt;/s&gt;&lt;/t&gt;", "//s")) * ($L$8 / $N$8), 0))</f>
        <v/>
      </c>
      <c r="F10" s="9" t="str" cm="1">
        <f t="array" ref="F10">IF(D10="", "", ROUNDUP(SUM(_xlfn.FILTERXML("&lt;t&gt;&lt;s&gt;" &amp; SUBSTITUTE(D10, ",", "&lt;/s&gt;&lt;s&gt;") &amp; "&lt;/s&gt;&lt;/t&gt;", "//s")) * ($L$8 / $N$8), 0))</f>
        <v/>
      </c>
      <c r="G10" s="19"/>
    </row>
    <row r="11" spans="1:15">
      <c r="A11" s="8">
        <v>8</v>
      </c>
      <c r="B11" s="14"/>
      <c r="C11" s="15"/>
      <c r="D11" s="24"/>
      <c r="E11" s="9" t="str" cm="1">
        <f t="array" ref="E11">IF(D11="", "", ROUNDUP(SUM(_xlfn.FILTERXML("&lt;t&gt;&lt;s&gt;" &amp; SUBSTITUTE(D11, ",", "&lt;/s&gt;&lt;s&gt;") &amp; "&lt;/s&gt;&lt;/t&gt;", "//s")) * ($L$8 / $N$8), 0))</f>
        <v/>
      </c>
      <c r="F11" s="9" t="str" cm="1">
        <f t="array" ref="F11">IF(D11="", "", ROUNDUP(SUM(_xlfn.FILTERXML("&lt;t&gt;&lt;s&gt;" &amp; SUBSTITUTE(D11, ",", "&lt;/s&gt;&lt;s&gt;") &amp; "&lt;/s&gt;&lt;/t&gt;", "//s")) * ($L$8 / $N$8), 0))</f>
        <v/>
      </c>
      <c r="G11" s="19"/>
    </row>
    <row r="12" spans="1:15">
      <c r="A12" s="8">
        <v>9</v>
      </c>
      <c r="B12" s="14"/>
      <c r="C12" s="15"/>
      <c r="D12" s="24"/>
      <c r="E12" s="9" t="str" cm="1">
        <f t="array" ref="E12">IF(D12="", "", ROUNDUP(SUM(_xlfn.FILTERXML("&lt;t&gt;&lt;s&gt;" &amp; SUBSTITUTE(D12, ",", "&lt;/s&gt;&lt;s&gt;") &amp; "&lt;/s&gt;&lt;/t&gt;", "//s")) * ($L$8 / $N$8), 0))</f>
        <v/>
      </c>
      <c r="F12" s="9" t="str" cm="1">
        <f t="array" ref="F12">IF(D12="", "", ROUNDUP(SUM(_xlfn.FILTERXML("&lt;t&gt;&lt;s&gt;" &amp; SUBSTITUTE(D12, ",", "&lt;/s&gt;&lt;s&gt;") &amp; "&lt;/s&gt;&lt;/t&gt;", "//s")) * ($L$8 / $N$8), 0))</f>
        <v/>
      </c>
      <c r="G12" s="19"/>
    </row>
    <row r="13" spans="1:15">
      <c r="A13" s="8">
        <v>10</v>
      </c>
      <c r="B13" s="14"/>
      <c r="C13" s="15"/>
      <c r="D13" s="24"/>
      <c r="E13" s="9" t="str" cm="1">
        <f t="array" ref="E13">IF(D13="", "", ROUNDUP(SUM(_xlfn.FILTERXML("&lt;t&gt;&lt;s&gt;" &amp; SUBSTITUTE(D13, ",", "&lt;/s&gt;&lt;s&gt;") &amp; "&lt;/s&gt;&lt;/t&gt;", "//s")) * ($L$8 / $N$8), 0))</f>
        <v/>
      </c>
      <c r="F13" s="9" t="str" cm="1">
        <f t="array" ref="F13">IF(D13="", "", ROUNDUP(SUM(_xlfn.FILTERXML("&lt;t&gt;&lt;s&gt;" &amp; SUBSTITUTE(D13, ",", "&lt;/s&gt;&lt;s&gt;") &amp; "&lt;/s&gt;&lt;/t&gt;", "//s")) * ($L$8 / $N$8), 0))</f>
        <v/>
      </c>
      <c r="G13" s="19"/>
    </row>
    <row r="14" spans="1:15">
      <c r="A14" s="8">
        <v>11</v>
      </c>
      <c r="B14" s="14"/>
      <c r="C14" s="15"/>
      <c r="D14" s="24"/>
      <c r="E14" s="9" t="str" cm="1">
        <f t="array" ref="E14">IF(D14="", "", ROUNDUP(SUM(_xlfn.FILTERXML("&lt;t&gt;&lt;s&gt;" &amp; SUBSTITUTE(D14, ",", "&lt;/s&gt;&lt;s&gt;") &amp; "&lt;/s&gt;&lt;/t&gt;", "//s")) * ($L$8 / $N$8), 0))</f>
        <v/>
      </c>
      <c r="F14" s="9" t="str" cm="1">
        <f t="array" ref="F14">IF(D14="", "", ROUNDUP(SUM(_xlfn.FILTERXML("&lt;t&gt;&lt;s&gt;" &amp; SUBSTITUTE(D14, ",", "&lt;/s&gt;&lt;s&gt;") &amp; "&lt;/s&gt;&lt;/t&gt;", "//s")) * ($L$8 / $N$8), 0))</f>
        <v/>
      </c>
      <c r="G14" s="19"/>
    </row>
    <row r="15" spans="1:15">
      <c r="A15" s="8">
        <v>12</v>
      </c>
      <c r="B15" s="14"/>
      <c r="C15" s="15"/>
      <c r="D15" s="24"/>
      <c r="E15" s="9" t="str" cm="1">
        <f t="array" ref="E15">IF(D15="", "", ROUNDUP(SUM(_xlfn.FILTERXML("&lt;t&gt;&lt;s&gt;" &amp; SUBSTITUTE(D15, ",", "&lt;/s&gt;&lt;s&gt;") &amp; "&lt;/s&gt;&lt;/t&gt;", "//s")) * ($L$8 / $N$8), 0))</f>
        <v/>
      </c>
      <c r="F15" s="9" t="str" cm="1">
        <f t="array" ref="F15">IF(D15="", "", ROUNDUP(SUM(_xlfn.FILTERXML("&lt;t&gt;&lt;s&gt;" &amp; SUBSTITUTE(D15, ",", "&lt;/s&gt;&lt;s&gt;") &amp; "&lt;/s&gt;&lt;/t&gt;", "//s")) * ($L$8 / $N$8), 0))</f>
        <v/>
      </c>
      <c r="G15" s="19"/>
    </row>
    <row r="16" spans="1:15">
      <c r="A16" s="8">
        <v>13</v>
      </c>
      <c r="B16" s="14"/>
      <c r="C16" s="15"/>
      <c r="D16" s="24"/>
      <c r="E16" s="9" t="str" cm="1">
        <f t="array" ref="E16">IF(D16="", "", ROUNDUP(SUM(_xlfn.FILTERXML("&lt;t&gt;&lt;s&gt;" &amp; SUBSTITUTE(D16, ",", "&lt;/s&gt;&lt;s&gt;") &amp; "&lt;/s&gt;&lt;/t&gt;", "//s")) * ($L$8 / $N$8), 0))</f>
        <v/>
      </c>
      <c r="F16" s="9" t="str" cm="1">
        <f t="array" ref="F16">IF(D16="", "", ROUNDUP(SUM(_xlfn.FILTERXML("&lt;t&gt;&lt;s&gt;" &amp; SUBSTITUTE(D16, ",", "&lt;/s&gt;&lt;s&gt;") &amp; "&lt;/s&gt;&lt;/t&gt;", "//s")) * ($L$8 / $N$8), 0))</f>
        <v/>
      </c>
      <c r="G16" s="19"/>
    </row>
    <row r="17" spans="1:9">
      <c r="A17" s="8">
        <v>14</v>
      </c>
      <c r="B17" s="14"/>
      <c r="C17" s="15"/>
      <c r="D17" s="24"/>
      <c r="E17" s="9" t="str" cm="1">
        <f t="array" ref="E17">IF(D17="", "", ROUNDUP(SUM(_xlfn.FILTERXML("&lt;t&gt;&lt;s&gt;" &amp; SUBSTITUTE(D17, ",", "&lt;/s&gt;&lt;s&gt;") &amp; "&lt;/s&gt;&lt;/t&gt;", "//s")) * ($L$8 / $N$8), 0))</f>
        <v/>
      </c>
      <c r="F17" s="9" t="str" cm="1">
        <f t="array" ref="F17">IF(D17="", "", ROUNDUP(SUM(_xlfn.FILTERXML("&lt;t&gt;&lt;s&gt;" &amp; SUBSTITUTE(D17, ",", "&lt;/s&gt;&lt;s&gt;") &amp; "&lt;/s&gt;&lt;/t&gt;", "//s")) * ($L$8 / $N$8), 0))</f>
        <v/>
      </c>
      <c r="G17" s="19"/>
    </row>
    <row r="18" spans="1:9">
      <c r="A18" s="8">
        <v>15</v>
      </c>
      <c r="B18" s="14"/>
      <c r="C18" s="15"/>
      <c r="D18" s="24"/>
      <c r="E18" s="9" t="str" cm="1">
        <f t="array" ref="E18">IF(D18="", "", ROUNDUP(SUM(_xlfn.FILTERXML("&lt;t&gt;&lt;s&gt;" &amp; SUBSTITUTE(D18, ",", "&lt;/s&gt;&lt;s&gt;") &amp; "&lt;/s&gt;&lt;/t&gt;", "//s")) * ($L$8 / $N$8), 0))</f>
        <v/>
      </c>
      <c r="F18" s="9" t="str" cm="1">
        <f t="array" ref="F18">IF(D18="", "", ROUNDUP(SUM(_xlfn.FILTERXML("&lt;t&gt;&lt;s&gt;" &amp; SUBSTITUTE(D18, ",", "&lt;/s&gt;&lt;s&gt;") &amp; "&lt;/s&gt;&lt;/t&gt;", "//s")) * ($L$8 / $N$8), 0))</f>
        <v/>
      </c>
      <c r="G18" s="19"/>
    </row>
    <row r="19" spans="1:9">
      <c r="A19" s="8">
        <v>16</v>
      </c>
      <c r="B19" s="14"/>
      <c r="C19" s="15"/>
      <c r="D19" s="24"/>
      <c r="E19" s="9" t="str" cm="1">
        <f t="array" ref="E19">IF(D19="", "", ROUNDUP(SUM(_xlfn.FILTERXML("&lt;t&gt;&lt;s&gt;" &amp; SUBSTITUTE(D19, ",", "&lt;/s&gt;&lt;s&gt;") &amp; "&lt;/s&gt;&lt;/t&gt;", "//s")) * ($L$8 / $N$8), 0))</f>
        <v/>
      </c>
      <c r="F19" s="9" t="str" cm="1">
        <f t="array" ref="F19">IF(D19="", "", ROUNDUP(SUM(_xlfn.FILTERXML("&lt;t&gt;&lt;s&gt;" &amp; SUBSTITUTE(D19, ",", "&lt;/s&gt;&lt;s&gt;") &amp; "&lt;/s&gt;&lt;/t&gt;", "//s")) * ($L$8 / $N$8), 0))</f>
        <v/>
      </c>
      <c r="G19" s="19"/>
    </row>
    <row r="20" spans="1:9">
      <c r="A20" s="8">
        <v>17</v>
      </c>
      <c r="B20" s="14"/>
      <c r="C20" s="15"/>
      <c r="D20" s="24"/>
      <c r="E20" s="9" t="str" cm="1">
        <f t="array" ref="E20">IF(D20="", "", ROUNDUP(SUM(_xlfn.FILTERXML("&lt;t&gt;&lt;s&gt;" &amp; SUBSTITUTE(D20, ",", "&lt;/s&gt;&lt;s&gt;") &amp; "&lt;/s&gt;&lt;/t&gt;", "//s")) * ($L$8 / $N$8), 0))</f>
        <v/>
      </c>
      <c r="F20" s="9" t="str" cm="1">
        <f t="array" ref="F20">IF(D20="", "", ROUNDUP(SUM(_xlfn.FILTERXML("&lt;t&gt;&lt;s&gt;" &amp; SUBSTITUTE(D20, ",", "&lt;/s&gt;&lt;s&gt;") &amp; "&lt;/s&gt;&lt;/t&gt;", "//s")) * ($L$8 / $N$8), 0))</f>
        <v/>
      </c>
      <c r="G20" s="19"/>
    </row>
    <row r="21" spans="1:9">
      <c r="A21" s="8">
        <v>18</v>
      </c>
      <c r="B21" s="14"/>
      <c r="C21" s="15"/>
      <c r="D21" s="24"/>
      <c r="E21" s="9" t="str" cm="1">
        <f t="array" ref="E21">IF(D21="", "", ROUNDUP(SUM(_xlfn.FILTERXML("&lt;t&gt;&lt;s&gt;" &amp; SUBSTITUTE(D21, ",", "&lt;/s&gt;&lt;s&gt;") &amp; "&lt;/s&gt;&lt;/t&gt;", "//s")) * ($L$8 / $N$8), 0))</f>
        <v/>
      </c>
      <c r="F21" s="9" t="str" cm="1">
        <f t="array" ref="F21">IF(D21="", "", ROUNDUP(SUM(_xlfn.FILTERXML("&lt;t&gt;&lt;s&gt;" &amp; SUBSTITUTE(D21, ",", "&lt;/s&gt;&lt;s&gt;") &amp; "&lt;/s&gt;&lt;/t&gt;", "//s")) * ($L$8 / $N$8), 0))</f>
        <v/>
      </c>
      <c r="G21" s="19"/>
    </row>
    <row r="22" spans="1:9">
      <c r="A22" s="8">
        <v>19</v>
      </c>
      <c r="B22" s="14"/>
      <c r="C22" s="15"/>
      <c r="D22" s="24"/>
      <c r="E22" s="9" t="str" cm="1">
        <f t="array" ref="E22">IF(D22="", "", ROUNDUP(SUM(_xlfn.FILTERXML("&lt;t&gt;&lt;s&gt;" &amp; SUBSTITUTE(D22, ",", "&lt;/s&gt;&lt;s&gt;") &amp; "&lt;/s&gt;&lt;/t&gt;", "//s")) * ($L$8 / $N$8), 0))</f>
        <v/>
      </c>
      <c r="F22" s="9" t="str" cm="1">
        <f t="array" ref="F22">IF(D22="", "", ROUNDUP(SUM(_xlfn.FILTERXML("&lt;t&gt;&lt;s&gt;" &amp; SUBSTITUTE(D22, ",", "&lt;/s&gt;&lt;s&gt;") &amp; "&lt;/s&gt;&lt;/t&gt;", "//s")) * ($L$8 / $N$8), 0))</f>
        <v/>
      </c>
      <c r="G22" s="19"/>
    </row>
    <row r="23" spans="1:9">
      <c r="A23" s="8">
        <v>20</v>
      </c>
      <c r="B23" s="14"/>
      <c r="C23" s="15"/>
      <c r="D23" s="24"/>
      <c r="E23" s="9" t="str" cm="1">
        <f t="array" ref="E23">IF(D23="", "", ROUNDUP(SUM(_xlfn.FILTERXML("&lt;t&gt;&lt;s&gt;" &amp; SUBSTITUTE(D23, ",", "&lt;/s&gt;&lt;s&gt;") &amp; "&lt;/s&gt;&lt;/t&gt;", "//s")) * ($L$8 / $N$8), 0))</f>
        <v/>
      </c>
      <c r="F23" s="9" t="str" cm="1">
        <f t="array" ref="F23">IF(D23="", "", ROUNDUP(SUM(_xlfn.FILTERXML("&lt;t&gt;&lt;s&gt;" &amp; SUBSTITUTE(D23, ",", "&lt;/s&gt;&lt;s&gt;") &amp; "&lt;/s&gt;&lt;/t&gt;", "//s")) * ($L$8 / $N$8), 0))</f>
        <v/>
      </c>
      <c r="G23" s="19"/>
      <c r="I23" s="7"/>
    </row>
    <row r="24" spans="1:9">
      <c r="A24" s="8">
        <v>21</v>
      </c>
      <c r="B24" s="14"/>
      <c r="C24" s="15"/>
      <c r="D24" s="24"/>
      <c r="E24" s="9" t="str" cm="1">
        <f t="array" ref="E24">IF(D24="", "", ROUNDUP(SUM(_xlfn.FILTERXML("&lt;t&gt;&lt;s&gt;" &amp; SUBSTITUTE(D24, ",", "&lt;/s&gt;&lt;s&gt;") &amp; "&lt;/s&gt;&lt;/t&gt;", "//s")) * ($L$8 / $N$8), 0))</f>
        <v/>
      </c>
      <c r="F24" s="9" t="str" cm="1">
        <f t="array" ref="F24">IF(D24="", "", ROUNDUP(SUM(_xlfn.FILTERXML("&lt;t&gt;&lt;s&gt;" &amp; SUBSTITUTE(D24, ",", "&lt;/s&gt;&lt;s&gt;") &amp; "&lt;/s&gt;&lt;/t&gt;", "//s")) * ($L$8 / $N$8), 0))</f>
        <v/>
      </c>
      <c r="G24" s="19"/>
    </row>
    <row r="25" spans="1:9">
      <c r="A25" s="8">
        <v>22</v>
      </c>
      <c r="B25" s="14"/>
      <c r="C25" s="15"/>
      <c r="D25" s="24"/>
      <c r="E25" s="9" t="str" cm="1">
        <f t="array" ref="E25">IF(D25="", "", ROUNDUP(SUM(_xlfn.FILTERXML("&lt;t&gt;&lt;s&gt;" &amp; SUBSTITUTE(D25, ",", "&lt;/s&gt;&lt;s&gt;") &amp; "&lt;/s&gt;&lt;/t&gt;", "//s")) * ($L$8 / $N$8), 0))</f>
        <v/>
      </c>
      <c r="F25" s="9" t="str" cm="1">
        <f t="array" ref="F25">IF(D25="", "", ROUNDUP(SUM(_xlfn.FILTERXML("&lt;t&gt;&lt;s&gt;" &amp; SUBSTITUTE(D25, ",", "&lt;/s&gt;&lt;s&gt;") &amp; "&lt;/s&gt;&lt;/t&gt;", "//s")) * ($L$8 / $N$8), 0))</f>
        <v/>
      </c>
      <c r="G25" s="19"/>
    </row>
    <row r="26" spans="1:9">
      <c r="A26" s="8">
        <v>23</v>
      </c>
      <c r="B26" s="14"/>
      <c r="C26" s="15"/>
      <c r="D26" s="24"/>
      <c r="E26" s="9" t="str" cm="1">
        <f t="array" ref="E26">IF(D26="", "", ROUNDUP(SUM(_xlfn.FILTERXML("&lt;t&gt;&lt;s&gt;" &amp; SUBSTITUTE(D26, ",", "&lt;/s&gt;&lt;s&gt;") &amp; "&lt;/s&gt;&lt;/t&gt;", "//s")) * ($L$8 / $N$8), 0))</f>
        <v/>
      </c>
      <c r="F26" s="9" t="str" cm="1">
        <f t="array" ref="F26">IF(D26="", "", ROUNDUP(SUM(_xlfn.FILTERXML("&lt;t&gt;&lt;s&gt;" &amp; SUBSTITUTE(D26, ",", "&lt;/s&gt;&lt;s&gt;") &amp; "&lt;/s&gt;&lt;/t&gt;", "//s")) * ($L$8 / $N$8), 0))</f>
        <v/>
      </c>
      <c r="G26" s="19"/>
    </row>
    <row r="27" spans="1:9">
      <c r="A27" s="8">
        <v>24</v>
      </c>
      <c r="B27" s="14"/>
      <c r="C27" s="15"/>
      <c r="D27" s="24"/>
      <c r="E27" s="9" t="str" cm="1">
        <f t="array" ref="E27">IF(D27="", "", ROUNDUP(SUM(_xlfn.FILTERXML("&lt;t&gt;&lt;s&gt;" &amp; SUBSTITUTE(D27, ",", "&lt;/s&gt;&lt;s&gt;") &amp; "&lt;/s&gt;&lt;/t&gt;", "//s")) * ($L$8 / $N$8), 0))</f>
        <v/>
      </c>
      <c r="F27" s="9" t="str" cm="1">
        <f t="array" ref="F27">IF(D27="", "", ROUNDUP(SUM(_xlfn.FILTERXML("&lt;t&gt;&lt;s&gt;" &amp; SUBSTITUTE(D27, ",", "&lt;/s&gt;&lt;s&gt;") &amp; "&lt;/s&gt;&lt;/t&gt;", "//s")) * ($L$8 / $N$8), 0))</f>
        <v/>
      </c>
      <c r="G27" s="19"/>
    </row>
    <row r="28" spans="1:9">
      <c r="A28" s="8">
        <v>25</v>
      </c>
      <c r="B28" s="14"/>
      <c r="C28" s="15"/>
      <c r="D28" s="24"/>
      <c r="E28" s="9" t="str" cm="1">
        <f t="array" ref="E28">IF(D28="", "", ROUNDUP(SUM(_xlfn.FILTERXML("&lt;t&gt;&lt;s&gt;" &amp; SUBSTITUTE(D28, ",", "&lt;/s&gt;&lt;s&gt;") &amp; "&lt;/s&gt;&lt;/t&gt;", "//s")) * ($L$8 / $N$8), 0))</f>
        <v/>
      </c>
      <c r="F28" s="9" t="str" cm="1">
        <f t="array" ref="F28">IF(D28="", "", ROUNDUP(SUM(_xlfn.FILTERXML("&lt;t&gt;&lt;s&gt;" &amp; SUBSTITUTE(D28, ",", "&lt;/s&gt;&lt;s&gt;") &amp; "&lt;/s&gt;&lt;/t&gt;", "//s")) * ($L$8 / $N$8), 0))</f>
        <v/>
      </c>
      <c r="G28" s="19"/>
    </row>
    <row r="29" spans="1:9">
      <c r="A29" s="8">
        <v>26</v>
      </c>
      <c r="B29" s="14"/>
      <c r="C29" s="15"/>
      <c r="D29" s="24"/>
      <c r="E29" s="9" t="str" cm="1">
        <f t="array" ref="E29">IF(D29="", "", ROUNDUP(SUM(_xlfn.FILTERXML("&lt;t&gt;&lt;s&gt;" &amp; SUBSTITUTE(D29, ",", "&lt;/s&gt;&lt;s&gt;") &amp; "&lt;/s&gt;&lt;/t&gt;", "//s")) * ($L$8 / $N$8), 0))</f>
        <v/>
      </c>
      <c r="F29" s="9" t="str" cm="1">
        <f t="array" ref="F29">IF(D29="", "", ROUNDUP(SUM(_xlfn.FILTERXML("&lt;t&gt;&lt;s&gt;" &amp; SUBSTITUTE(D29, ",", "&lt;/s&gt;&lt;s&gt;") &amp; "&lt;/s&gt;&lt;/t&gt;", "//s")) * ($L$8 / $N$8), 0))</f>
        <v/>
      </c>
      <c r="G29" s="19"/>
    </row>
    <row r="30" spans="1:9">
      <c r="A30" s="8">
        <v>27</v>
      </c>
      <c r="B30" s="14"/>
      <c r="C30" s="15"/>
      <c r="D30" s="24"/>
      <c r="E30" s="9" t="str" cm="1">
        <f t="array" ref="E30">IF(D30="", "", ROUNDUP(SUM(_xlfn.FILTERXML("&lt;t&gt;&lt;s&gt;" &amp; SUBSTITUTE(D30, ",", "&lt;/s&gt;&lt;s&gt;") &amp; "&lt;/s&gt;&lt;/t&gt;", "//s")) * ($L$8 / $N$8), 0))</f>
        <v/>
      </c>
      <c r="F30" s="9" t="str" cm="1">
        <f t="array" ref="F30">IF(D30="", "", ROUNDUP(SUM(_xlfn.FILTERXML("&lt;t&gt;&lt;s&gt;" &amp; SUBSTITUTE(D30, ",", "&lt;/s&gt;&lt;s&gt;") &amp; "&lt;/s&gt;&lt;/t&gt;", "//s")) * ($L$8 / $N$8), 0))</f>
        <v/>
      </c>
      <c r="G30" s="19"/>
    </row>
    <row r="31" spans="1:9">
      <c r="A31" s="8">
        <v>28</v>
      </c>
      <c r="B31" s="14"/>
      <c r="C31" s="15"/>
      <c r="D31" s="28"/>
      <c r="E31" s="9" t="str" cm="1">
        <f t="array" ref="E31">IF(D31="", "", ROUNDUP(SUM(_xlfn.FILTERXML("&lt;t&gt;&lt;s&gt;" &amp; SUBSTITUTE(D31, ",", "&lt;/s&gt;&lt;s&gt;") &amp; "&lt;/s&gt;&lt;/t&gt;", "//s")) * ($L$8 / $N$8), 0))</f>
        <v/>
      </c>
      <c r="F31" s="9" t="str" cm="1">
        <f t="array" ref="F31">IF(D31="", "", ROUNDUP(SUM(_xlfn.FILTERXML("&lt;t&gt;&lt;s&gt;" &amp; SUBSTITUTE(D31, ",", "&lt;/s&gt;&lt;s&gt;") &amp; "&lt;/s&gt;&lt;/t&gt;", "//s")) * ($L$8 / $N$8), 0))</f>
        <v/>
      </c>
      <c r="G31" s="19"/>
    </row>
    <row r="32" spans="1:9">
      <c r="A32" s="8">
        <v>29</v>
      </c>
      <c r="B32" s="14"/>
      <c r="C32" s="15"/>
      <c r="D32" s="28"/>
      <c r="E32" s="9" t="str" cm="1">
        <f t="array" ref="E32">IF(D32="", "", ROUNDUP(SUM(_xlfn.FILTERXML("&lt;t&gt;&lt;s&gt;" &amp; SUBSTITUTE(D32, ",", "&lt;/s&gt;&lt;s&gt;") &amp; "&lt;/s&gt;&lt;/t&gt;", "//s")) * ($L$8 / $N$8), 0))</f>
        <v/>
      </c>
      <c r="F32" s="9" t="str" cm="1">
        <f t="array" ref="F32">IF(D32="", "", ROUNDUP(SUM(_xlfn.FILTERXML("&lt;t&gt;&lt;s&gt;" &amp; SUBSTITUTE(D32, ",", "&lt;/s&gt;&lt;s&gt;") &amp; "&lt;/s&gt;&lt;/t&gt;", "//s")) * ($L$8 / $N$8), 0))</f>
        <v/>
      </c>
      <c r="G32" s="19"/>
    </row>
    <row r="33" spans="1:7">
      <c r="A33" s="8">
        <v>30</v>
      </c>
      <c r="B33" s="14"/>
      <c r="C33" s="15"/>
      <c r="D33" s="28"/>
      <c r="E33" s="9" t="str" cm="1">
        <f t="array" ref="E33">IF(D33="", "", ROUNDUP(SUM(_xlfn.FILTERXML("&lt;t&gt;&lt;s&gt;" &amp; SUBSTITUTE(D33, ",", "&lt;/s&gt;&lt;s&gt;") &amp; "&lt;/s&gt;&lt;/t&gt;", "//s")) * ($L$8 / $N$8), 0))</f>
        <v/>
      </c>
      <c r="F33" s="9" t="str" cm="1">
        <f t="array" ref="F33">IF(D33="", "", ROUNDUP(SUM(_xlfn.FILTERXML("&lt;t&gt;&lt;s&gt;" &amp; SUBSTITUTE(D33, ",", "&lt;/s&gt;&lt;s&gt;") &amp; "&lt;/s&gt;&lt;/t&gt;", "//s")) * ($L$8 / $N$8), 0))</f>
        <v/>
      </c>
      <c r="G33" s="19"/>
    </row>
    <row r="34" spans="1:7">
      <c r="A34" s="8">
        <v>31</v>
      </c>
      <c r="B34" s="14"/>
      <c r="C34" s="15"/>
      <c r="D34" s="24"/>
      <c r="E34" s="9" t="str" cm="1">
        <f t="array" ref="E34">IF(D34="", "", ROUNDUP(SUM(_xlfn.FILTERXML("&lt;t&gt;&lt;s&gt;" &amp; SUBSTITUTE(D34, ",", "&lt;/s&gt;&lt;s&gt;") &amp; "&lt;/s&gt;&lt;/t&gt;", "//s")) * ($L$8 / $N$8), 0))</f>
        <v/>
      </c>
      <c r="F34" s="9" t="str" cm="1">
        <f t="array" ref="F34">IF(D34="", "", ROUNDUP(SUM(_xlfn.FILTERXML("&lt;t&gt;&lt;s&gt;" &amp; SUBSTITUTE(D34, ",", "&lt;/s&gt;&lt;s&gt;") &amp; "&lt;/s&gt;&lt;/t&gt;", "//s")) * ($L$8 / $N$8), 0))</f>
        <v/>
      </c>
      <c r="G34" s="19"/>
    </row>
    <row r="35" spans="1:7">
      <c r="A35" s="8">
        <v>32</v>
      </c>
      <c r="B35" s="14"/>
      <c r="C35" s="15"/>
      <c r="D35" s="24"/>
      <c r="E35" s="9" t="str" cm="1">
        <f t="array" ref="E35">IF(D35="", "", ROUNDUP(SUM(_xlfn.FILTERXML("&lt;t&gt;&lt;s&gt;" &amp; SUBSTITUTE(D35, ",", "&lt;/s&gt;&lt;s&gt;") &amp; "&lt;/s&gt;&lt;/t&gt;", "//s")) * ($L$8 / $N$8), 0))</f>
        <v/>
      </c>
      <c r="F35" s="9" t="str" cm="1">
        <f t="array" ref="F35">IF(D35="", "", ROUNDUP(SUM(_xlfn.FILTERXML("&lt;t&gt;&lt;s&gt;" &amp; SUBSTITUTE(D35, ",", "&lt;/s&gt;&lt;s&gt;") &amp; "&lt;/s&gt;&lt;/t&gt;", "//s")) * ($L$8 / $N$8), 0))</f>
        <v/>
      </c>
      <c r="G35" s="19"/>
    </row>
    <row r="36" spans="1:7">
      <c r="A36" s="8">
        <v>33</v>
      </c>
      <c r="B36" s="14"/>
      <c r="C36" s="15"/>
      <c r="D36" s="24"/>
      <c r="E36" s="9" t="str" cm="1">
        <f t="array" ref="E36">IF(D36="", "", ROUNDUP(SUM(_xlfn.FILTERXML("&lt;t&gt;&lt;s&gt;" &amp; SUBSTITUTE(D36, ",", "&lt;/s&gt;&lt;s&gt;") &amp; "&lt;/s&gt;&lt;/t&gt;", "//s")) * ($L$8 / $N$8), 0))</f>
        <v/>
      </c>
      <c r="F36" s="9" t="str" cm="1">
        <f t="array" ref="F36">IF(D36="", "", ROUNDUP(SUM(_xlfn.FILTERXML("&lt;t&gt;&lt;s&gt;" &amp; SUBSTITUTE(D36, ",", "&lt;/s&gt;&lt;s&gt;") &amp; "&lt;/s&gt;&lt;/t&gt;", "//s")) * ($L$8 / $N$8), 0))</f>
        <v/>
      </c>
      <c r="G36" s="19"/>
    </row>
    <row r="37" spans="1:7">
      <c r="A37" s="8">
        <v>34</v>
      </c>
      <c r="B37" s="14"/>
      <c r="C37" s="15"/>
      <c r="D37" s="24"/>
      <c r="E37" s="9" t="str" cm="1">
        <f t="array" ref="E37">IF(D37="", "", ROUNDUP(SUM(_xlfn.FILTERXML("&lt;t&gt;&lt;s&gt;" &amp; SUBSTITUTE(D37, ",", "&lt;/s&gt;&lt;s&gt;") &amp; "&lt;/s&gt;&lt;/t&gt;", "//s")) * ($L$8 / $N$8), 0))</f>
        <v/>
      </c>
      <c r="F37" s="9" t="str" cm="1">
        <f t="array" ref="F37">IF(D37="", "", ROUNDUP(SUM(_xlfn.FILTERXML("&lt;t&gt;&lt;s&gt;" &amp; SUBSTITUTE(D37, ",", "&lt;/s&gt;&lt;s&gt;") &amp; "&lt;/s&gt;&lt;/t&gt;", "//s")) * ($L$8 / $N$8), 0))</f>
        <v/>
      </c>
      <c r="G37" s="19"/>
    </row>
    <row r="38" spans="1:7">
      <c r="A38" s="8">
        <v>35</v>
      </c>
      <c r="B38" s="14"/>
      <c r="C38" s="15"/>
      <c r="D38" s="24"/>
      <c r="E38" s="9" t="str" cm="1">
        <f t="array" ref="E38">IF(D38="", "", ROUNDUP(SUM(_xlfn.FILTERXML("&lt;t&gt;&lt;s&gt;" &amp; SUBSTITUTE(D38, ",", "&lt;/s&gt;&lt;s&gt;") &amp; "&lt;/s&gt;&lt;/t&gt;", "//s")) * ($L$8 / $N$8), 0))</f>
        <v/>
      </c>
      <c r="F38" s="9" t="str" cm="1">
        <f t="array" ref="F38">IF(D38="", "", ROUNDUP(SUM(_xlfn.FILTERXML("&lt;t&gt;&lt;s&gt;" &amp; SUBSTITUTE(D38, ",", "&lt;/s&gt;&lt;s&gt;") &amp; "&lt;/s&gt;&lt;/t&gt;", "//s")) * ($L$8 / $N$8), 0))</f>
        <v/>
      </c>
      <c r="G38" s="19"/>
    </row>
    <row r="39" spans="1:7">
      <c r="A39" s="8">
        <v>36</v>
      </c>
      <c r="B39" s="14"/>
      <c r="C39" s="15"/>
      <c r="D39" s="24"/>
      <c r="E39" s="9" t="str" cm="1">
        <f t="array" ref="E39">IF(D39="", "", ROUNDUP(SUM(_xlfn.FILTERXML("&lt;t&gt;&lt;s&gt;" &amp; SUBSTITUTE(D39, ",", "&lt;/s&gt;&lt;s&gt;") &amp; "&lt;/s&gt;&lt;/t&gt;", "//s")) * ($L$8 / $N$8), 0))</f>
        <v/>
      </c>
      <c r="F39" s="9" t="str" cm="1">
        <f t="array" ref="F39">IF(D39="", "", ROUNDUP(SUM(_xlfn.FILTERXML("&lt;t&gt;&lt;s&gt;" &amp; SUBSTITUTE(D39, ",", "&lt;/s&gt;&lt;s&gt;") &amp; "&lt;/s&gt;&lt;/t&gt;", "//s")) * ($L$8 / $N$8), 0))</f>
        <v/>
      </c>
      <c r="G39" s="19"/>
    </row>
    <row r="40" spans="1:7">
      <c r="A40" s="8">
        <v>37</v>
      </c>
      <c r="B40" s="14"/>
      <c r="C40" s="15"/>
      <c r="D40" s="24"/>
      <c r="E40" s="9" t="str" cm="1">
        <f t="array" ref="E40">IF(D40="", "", ROUNDUP(SUM(_xlfn.FILTERXML("&lt;t&gt;&lt;s&gt;" &amp; SUBSTITUTE(D40, ",", "&lt;/s&gt;&lt;s&gt;") &amp; "&lt;/s&gt;&lt;/t&gt;", "//s")) * ($L$8 / $N$8), 0))</f>
        <v/>
      </c>
      <c r="F40" s="9" t="str" cm="1">
        <f t="array" ref="F40">IF(D40="", "", ROUNDUP(SUM(_xlfn.FILTERXML("&lt;t&gt;&lt;s&gt;" &amp; SUBSTITUTE(D40, ",", "&lt;/s&gt;&lt;s&gt;") &amp; "&lt;/s&gt;&lt;/t&gt;", "//s")) * ($L$8 / $N$8), 0))</f>
        <v/>
      </c>
      <c r="G40" s="19"/>
    </row>
    <row r="41" spans="1:7">
      <c r="A41" s="8">
        <v>38</v>
      </c>
      <c r="B41" s="14"/>
      <c r="C41" s="15"/>
      <c r="D41" s="24"/>
      <c r="E41" s="9" t="str" cm="1">
        <f t="array" ref="E41">IF(D41="", "", ROUNDUP(SUM(_xlfn.FILTERXML("&lt;t&gt;&lt;s&gt;" &amp; SUBSTITUTE(D41, ",", "&lt;/s&gt;&lt;s&gt;") &amp; "&lt;/s&gt;&lt;/t&gt;", "//s")) * ($L$8 / $N$8), 0))</f>
        <v/>
      </c>
      <c r="F41" s="9" t="str" cm="1">
        <f t="array" ref="F41">IF(D41="", "", ROUNDUP(SUM(_xlfn.FILTERXML("&lt;t&gt;&lt;s&gt;" &amp; SUBSTITUTE(D41, ",", "&lt;/s&gt;&lt;s&gt;") &amp; "&lt;/s&gt;&lt;/t&gt;", "//s")) * ($L$8 / $N$8), 0))</f>
        <v/>
      </c>
      <c r="G41" s="19"/>
    </row>
    <row r="42" spans="1:7">
      <c r="A42" s="8">
        <v>39</v>
      </c>
      <c r="B42" s="14"/>
      <c r="C42" s="15"/>
      <c r="D42" s="24"/>
      <c r="E42" s="9" t="str" cm="1">
        <f t="array" ref="E42">IF(D42="", "", ROUNDUP(SUM(_xlfn.FILTERXML("&lt;t&gt;&lt;s&gt;" &amp; SUBSTITUTE(D42, ",", "&lt;/s&gt;&lt;s&gt;") &amp; "&lt;/s&gt;&lt;/t&gt;", "//s")) * ($L$8 / $N$8), 0))</f>
        <v/>
      </c>
      <c r="F42" s="9" t="str" cm="1">
        <f t="array" ref="F42">IF(D42="", "", ROUNDUP(SUM(_xlfn.FILTERXML("&lt;t&gt;&lt;s&gt;" &amp; SUBSTITUTE(D42, ",", "&lt;/s&gt;&lt;s&gt;") &amp; "&lt;/s&gt;&lt;/t&gt;", "//s")) * ($L$8 / $N$8), 0))</f>
        <v/>
      </c>
    </row>
    <row r="43" spans="1:7">
      <c r="A43" s="8">
        <v>40</v>
      </c>
      <c r="B43" s="14"/>
      <c r="C43" s="15"/>
      <c r="D43" s="24"/>
      <c r="E43" s="9" t="str" cm="1">
        <f t="array" ref="E43">IF(D43="", "", ROUNDUP(SUM(_xlfn.FILTERXML("&lt;t&gt;&lt;s&gt;" &amp; SUBSTITUTE(D43, ",", "&lt;/s&gt;&lt;s&gt;") &amp; "&lt;/s&gt;&lt;/t&gt;", "//s")) * ($L$8 / $N$8), 0))</f>
        <v/>
      </c>
      <c r="F43" s="9" t="str" cm="1">
        <f t="array" ref="F43">IF(D43="", "", ROUNDUP(SUM(_xlfn.FILTERXML("&lt;t&gt;&lt;s&gt;" &amp; SUBSTITUTE(D43, ",", "&lt;/s&gt;&lt;s&gt;") &amp; "&lt;/s&gt;&lt;/t&gt;", "//s")) * ($L$8 / $N$8), 0))</f>
        <v/>
      </c>
    </row>
  </sheetData>
  <mergeCells count="8">
    <mergeCell ref="L8:M8"/>
    <mergeCell ref="N8:O8"/>
    <mergeCell ref="A1:C2"/>
    <mergeCell ref="E1:F2"/>
    <mergeCell ref="D1:D2"/>
    <mergeCell ref="L6:O6"/>
    <mergeCell ref="L7:M7"/>
    <mergeCell ref="N7:O7"/>
  </mergeCells>
  <conditionalFormatting sqref="E4:G4 G5:G41 D31:D33 E5:F43">
    <cfRule type="containsText" dxfId="3" priority="1" operator="containsText" text="A">
      <formula>NOT(ISERROR(SEARCH("A",D4)))</formula>
    </cfRule>
    <cfRule type="containsText" dxfId="2" priority="2" operator="containsText" text="P">
      <formula>NOT(ISERROR(SEARCH("P",D4)))</formula>
    </cfRule>
    <cfRule type="containsText" dxfId="1" priority="3" operator="containsText" text="A">
      <formula>NOT(ISERROR(SEARCH("A",D4)))</formula>
    </cfRule>
    <cfRule type="containsText" dxfId="0" priority="4" operator="containsText" text="P">
      <formula>NOT(ISERROR(SEARCH("P",D4)))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B854-C8DB-43FF-B175-8825C9E57E02}">
  <dimension ref="A1:D43"/>
  <sheetViews>
    <sheetView workbookViewId="0">
      <selection activeCell="C14" sqref="C14"/>
    </sheetView>
  </sheetViews>
  <sheetFormatPr defaultRowHeight="14.4"/>
  <cols>
    <col min="2" max="2" width="10.44140625" bestFit="1" customWidth="1"/>
    <col min="3" max="3" width="34.6640625" bestFit="1" customWidth="1"/>
    <col min="4" max="4" width="22.44140625" customWidth="1"/>
  </cols>
  <sheetData>
    <row r="1" spans="1:4" ht="15" customHeight="1">
      <c r="A1" s="31" t="s">
        <v>46</v>
      </c>
      <c r="B1" s="31"/>
      <c r="C1" s="31"/>
      <c r="D1" s="45" t="s">
        <v>35</v>
      </c>
    </row>
    <row r="2" spans="1:4">
      <c r="A2" s="31"/>
      <c r="B2" s="31"/>
      <c r="C2" s="31"/>
      <c r="D2" s="32"/>
    </row>
    <row r="3" spans="1:4">
      <c r="A3" s="5" t="s">
        <v>0</v>
      </c>
      <c r="B3" s="5" t="s">
        <v>1</v>
      </c>
      <c r="C3" s="5" t="s">
        <v>2</v>
      </c>
      <c r="D3" s="5"/>
    </row>
    <row r="4" spans="1:4">
      <c r="A4" s="8">
        <v>1</v>
      </c>
      <c r="B4" s="14"/>
      <c r="C4" s="15"/>
      <c r="D4" s="24"/>
    </row>
    <row r="5" spans="1:4">
      <c r="A5" s="8">
        <v>2</v>
      </c>
      <c r="B5" s="14"/>
      <c r="C5" s="15"/>
      <c r="D5" s="24"/>
    </row>
    <row r="6" spans="1:4">
      <c r="A6" s="8">
        <v>3</v>
      </c>
      <c r="B6" s="14"/>
      <c r="C6" s="15"/>
      <c r="D6" s="24"/>
    </row>
    <row r="7" spans="1:4">
      <c r="A7" s="8">
        <v>4</v>
      </c>
      <c r="B7" s="14"/>
      <c r="C7" s="15"/>
      <c r="D7" s="24"/>
    </row>
    <row r="8" spans="1:4">
      <c r="A8" s="8">
        <v>5</v>
      </c>
      <c r="B8" s="14"/>
      <c r="C8" s="15"/>
      <c r="D8" s="24"/>
    </row>
    <row r="9" spans="1:4">
      <c r="A9" s="8">
        <v>6</v>
      </c>
      <c r="B9" s="14"/>
      <c r="C9" s="15"/>
      <c r="D9" s="24"/>
    </row>
    <row r="10" spans="1:4">
      <c r="A10" s="8">
        <v>7</v>
      </c>
      <c r="B10" s="14"/>
      <c r="C10" s="15"/>
      <c r="D10" s="24"/>
    </row>
    <row r="11" spans="1:4">
      <c r="A11" s="8">
        <v>8</v>
      </c>
      <c r="B11" s="14"/>
      <c r="C11" s="15"/>
      <c r="D11" s="24"/>
    </row>
    <row r="12" spans="1:4">
      <c r="A12" s="8">
        <v>9</v>
      </c>
      <c r="B12" s="14"/>
      <c r="C12" s="15"/>
      <c r="D12" s="24"/>
    </row>
    <row r="13" spans="1:4">
      <c r="A13" s="8">
        <v>10</v>
      </c>
      <c r="B13" s="14"/>
      <c r="C13" s="15"/>
      <c r="D13" s="24"/>
    </row>
    <row r="14" spans="1:4">
      <c r="A14" s="8">
        <v>11</v>
      </c>
      <c r="B14" s="14"/>
      <c r="C14" s="15"/>
      <c r="D14" s="24"/>
    </row>
    <row r="15" spans="1:4">
      <c r="A15" s="8">
        <v>12</v>
      </c>
      <c r="B15" s="14"/>
      <c r="C15" s="15"/>
      <c r="D15" s="24"/>
    </row>
    <row r="16" spans="1:4">
      <c r="A16" s="8">
        <v>13</v>
      </c>
      <c r="B16" s="14"/>
      <c r="C16" s="15"/>
      <c r="D16" s="24"/>
    </row>
    <row r="17" spans="1:4">
      <c r="A17" s="8">
        <v>14</v>
      </c>
      <c r="B17" s="14"/>
      <c r="C17" s="15"/>
      <c r="D17" s="24"/>
    </row>
    <row r="18" spans="1:4">
      <c r="A18" s="8">
        <v>15</v>
      </c>
      <c r="B18" s="14"/>
      <c r="C18" s="15"/>
      <c r="D18" s="24"/>
    </row>
    <row r="19" spans="1:4">
      <c r="A19" s="8">
        <v>16</v>
      </c>
      <c r="B19" s="14"/>
      <c r="C19" s="15"/>
      <c r="D19" s="24"/>
    </row>
    <row r="20" spans="1:4">
      <c r="A20" s="8">
        <v>17</v>
      </c>
      <c r="B20" s="14"/>
      <c r="C20" s="15"/>
      <c r="D20" s="24"/>
    </row>
    <row r="21" spans="1:4">
      <c r="A21" s="8">
        <v>18</v>
      </c>
      <c r="B21" s="14"/>
      <c r="C21" s="15"/>
      <c r="D21" s="24"/>
    </row>
    <row r="22" spans="1:4">
      <c r="A22" s="8">
        <v>19</v>
      </c>
      <c r="B22" s="14"/>
      <c r="C22" s="15"/>
      <c r="D22" s="24"/>
    </row>
    <row r="23" spans="1:4">
      <c r="A23" s="8">
        <v>20</v>
      </c>
      <c r="B23" s="14"/>
      <c r="C23" s="15"/>
      <c r="D23" s="24"/>
    </row>
    <row r="24" spans="1:4">
      <c r="A24" s="8">
        <v>21</v>
      </c>
      <c r="B24" s="14"/>
      <c r="C24" s="15"/>
      <c r="D24" s="24"/>
    </row>
    <row r="25" spans="1:4">
      <c r="A25" s="8">
        <v>22</v>
      </c>
      <c r="B25" s="14"/>
      <c r="C25" s="15"/>
      <c r="D25" s="24"/>
    </row>
    <row r="26" spans="1:4">
      <c r="A26" s="8">
        <v>23</v>
      </c>
      <c r="B26" s="14"/>
      <c r="C26" s="15"/>
      <c r="D26" s="24"/>
    </row>
    <row r="27" spans="1:4">
      <c r="A27" s="8">
        <v>24</v>
      </c>
      <c r="B27" s="14"/>
      <c r="C27" s="15"/>
      <c r="D27" s="24"/>
    </row>
    <row r="28" spans="1:4">
      <c r="A28" s="8">
        <v>25</v>
      </c>
      <c r="B28" s="14"/>
      <c r="C28" s="15"/>
      <c r="D28" s="24"/>
    </row>
    <row r="29" spans="1:4">
      <c r="A29" s="8">
        <v>26</v>
      </c>
      <c r="B29" s="14"/>
      <c r="C29" s="15"/>
      <c r="D29" s="24"/>
    </row>
    <row r="30" spans="1:4">
      <c r="A30" s="8">
        <v>27</v>
      </c>
      <c r="B30" s="14"/>
      <c r="C30" s="15"/>
      <c r="D30" s="24"/>
    </row>
    <row r="31" spans="1:4">
      <c r="A31" s="8">
        <v>28</v>
      </c>
      <c r="B31" s="14"/>
      <c r="C31" s="15"/>
      <c r="D31" s="24"/>
    </row>
    <row r="32" spans="1:4">
      <c r="A32" s="8">
        <v>29</v>
      </c>
      <c r="B32" s="14"/>
      <c r="C32" s="15"/>
      <c r="D32" s="24"/>
    </row>
    <row r="33" spans="1:4">
      <c r="A33" s="8">
        <v>30</v>
      </c>
      <c r="B33" s="14"/>
      <c r="C33" s="15"/>
      <c r="D33" s="24"/>
    </row>
    <row r="34" spans="1:4">
      <c r="A34" s="8">
        <v>31</v>
      </c>
      <c r="B34" s="14"/>
      <c r="C34" s="15"/>
      <c r="D34" s="24"/>
    </row>
    <row r="35" spans="1:4">
      <c r="A35" s="8">
        <v>32</v>
      </c>
      <c r="B35" s="14"/>
      <c r="C35" s="15"/>
      <c r="D35" s="24"/>
    </row>
    <row r="36" spans="1:4">
      <c r="A36" s="8">
        <v>33</v>
      </c>
      <c r="B36" s="14"/>
      <c r="C36" s="15"/>
      <c r="D36" s="24"/>
    </row>
    <row r="37" spans="1:4">
      <c r="A37" s="8">
        <v>34</v>
      </c>
      <c r="B37" s="14"/>
      <c r="C37" s="15"/>
      <c r="D37" s="24"/>
    </row>
    <row r="38" spans="1:4">
      <c r="A38" s="8">
        <v>35</v>
      </c>
      <c r="B38" s="14"/>
      <c r="C38" s="15"/>
      <c r="D38" s="24"/>
    </row>
    <row r="39" spans="1:4">
      <c r="A39" s="8">
        <v>36</v>
      </c>
      <c r="B39" s="14"/>
      <c r="C39" s="15"/>
      <c r="D39" s="24"/>
    </row>
    <row r="40" spans="1:4">
      <c r="A40" s="8">
        <v>37</v>
      </c>
      <c r="B40" s="14"/>
      <c r="C40" s="15"/>
      <c r="D40" s="24"/>
    </row>
    <row r="41" spans="1:4">
      <c r="A41" s="8">
        <v>38</v>
      </c>
      <c r="B41" s="14"/>
      <c r="C41" s="15"/>
      <c r="D41" s="24"/>
    </row>
    <row r="42" spans="1:4">
      <c r="A42" s="8">
        <v>39</v>
      </c>
      <c r="B42" s="14"/>
      <c r="C42" s="15"/>
      <c r="D42" s="24"/>
    </row>
    <row r="43" spans="1:4">
      <c r="A43" s="8">
        <v>40</v>
      </c>
      <c r="B43" s="14"/>
      <c r="C43" s="15"/>
      <c r="D43" s="24"/>
    </row>
  </sheetData>
  <mergeCells count="2">
    <mergeCell ref="A1:C2"/>
    <mergeCell ref="D1:D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12D2-BEC8-46F2-9949-DD39DC5DE764}">
  <dimension ref="A1:S15"/>
  <sheetViews>
    <sheetView workbookViewId="0">
      <selection activeCell="N8" sqref="N8"/>
    </sheetView>
  </sheetViews>
  <sheetFormatPr defaultRowHeight="14.4"/>
  <cols>
    <col min="10" max="10" width="8.6640625" style="26"/>
  </cols>
  <sheetData>
    <row r="1" spans="1:19">
      <c r="A1" s="46" t="s">
        <v>20</v>
      </c>
      <c r="B1" s="47"/>
      <c r="C1" s="47"/>
      <c r="D1" s="47"/>
      <c r="E1" s="47"/>
      <c r="F1" s="47"/>
      <c r="G1" s="47"/>
      <c r="H1" s="47"/>
      <c r="I1" s="47"/>
      <c r="K1" s="46" t="s">
        <v>21</v>
      </c>
      <c r="L1" s="47"/>
      <c r="M1" s="47"/>
      <c r="N1" s="47"/>
      <c r="O1" s="47"/>
      <c r="P1" s="47"/>
      <c r="Q1" s="47"/>
      <c r="R1" s="47"/>
      <c r="S1" s="47"/>
    </row>
    <row r="2" spans="1:19">
      <c r="A2" s="47"/>
      <c r="B2" s="47"/>
      <c r="C2" s="47"/>
      <c r="D2" s="47"/>
      <c r="E2" s="47"/>
      <c r="F2" s="47"/>
      <c r="G2" s="47"/>
      <c r="H2" s="47"/>
      <c r="I2" s="47"/>
      <c r="K2" s="47"/>
      <c r="L2" s="47"/>
      <c r="M2" s="47"/>
      <c r="N2" s="47"/>
      <c r="O2" s="47"/>
      <c r="P2" s="47"/>
      <c r="Q2" s="47"/>
      <c r="R2" s="47"/>
      <c r="S2" s="47"/>
    </row>
    <row r="3" spans="1:19">
      <c r="A3" t="s">
        <v>47</v>
      </c>
      <c r="B3" t="s">
        <v>48</v>
      </c>
      <c r="K3" t="s">
        <v>47</v>
      </c>
      <c r="L3" t="s">
        <v>48</v>
      </c>
    </row>
    <row r="4" spans="1:19">
      <c r="A4" t="s">
        <v>49</v>
      </c>
      <c r="B4">
        <v>0</v>
      </c>
      <c r="K4" t="s">
        <v>49</v>
      </c>
      <c r="L4">
        <v>0</v>
      </c>
    </row>
    <row r="5" spans="1:19">
      <c r="A5" t="s">
        <v>28</v>
      </c>
      <c r="B5">
        <v>0</v>
      </c>
      <c r="K5" t="s">
        <v>28</v>
      </c>
      <c r="L5">
        <v>0</v>
      </c>
    </row>
    <row r="6" spans="1:19">
      <c r="A6" t="s">
        <v>50</v>
      </c>
      <c r="B6">
        <v>0</v>
      </c>
      <c r="K6" t="s">
        <v>50</v>
      </c>
      <c r="L6">
        <v>0</v>
      </c>
    </row>
    <row r="7" spans="1:19">
      <c r="A7" t="s">
        <v>51</v>
      </c>
      <c r="B7">
        <v>0</v>
      </c>
      <c r="K7" t="s">
        <v>51</v>
      </c>
      <c r="L7">
        <v>0</v>
      </c>
    </row>
    <row r="8" spans="1:19">
      <c r="A8" t="s">
        <v>52</v>
      </c>
      <c r="B8">
        <v>0</v>
      </c>
      <c r="K8" t="s">
        <v>52</v>
      </c>
      <c r="L8">
        <v>0</v>
      </c>
    </row>
    <row r="9" spans="1:19">
      <c r="A9" t="s">
        <v>53</v>
      </c>
      <c r="B9">
        <v>0</v>
      </c>
      <c r="K9" t="s">
        <v>53</v>
      </c>
      <c r="L9">
        <v>0</v>
      </c>
    </row>
    <row r="10" spans="1:19">
      <c r="A10" t="s">
        <v>54</v>
      </c>
      <c r="B10">
        <v>0</v>
      </c>
      <c r="K10" t="s">
        <v>54</v>
      </c>
      <c r="L10">
        <v>0</v>
      </c>
    </row>
    <row r="11" spans="1:19">
      <c r="A11" t="s">
        <v>55</v>
      </c>
      <c r="B11">
        <v>0</v>
      </c>
      <c r="K11" t="s">
        <v>55</v>
      </c>
      <c r="L11">
        <v>0</v>
      </c>
    </row>
    <row r="12" spans="1:19">
      <c r="A12" t="s">
        <v>56</v>
      </c>
      <c r="B12">
        <v>0</v>
      </c>
      <c r="K12" t="s">
        <v>56</v>
      </c>
      <c r="L12">
        <v>0</v>
      </c>
    </row>
    <row r="13" spans="1:19">
      <c r="A13" t="s">
        <v>57</v>
      </c>
      <c r="B13">
        <v>0</v>
      </c>
      <c r="K13" t="s">
        <v>57</v>
      </c>
      <c r="L13">
        <v>0</v>
      </c>
    </row>
    <row r="14" spans="1:19">
      <c r="A14" t="s">
        <v>36</v>
      </c>
      <c r="B14">
        <v>0</v>
      </c>
      <c r="K14" t="s">
        <v>36</v>
      </c>
      <c r="L14">
        <v>0</v>
      </c>
    </row>
    <row r="15" spans="1:19">
      <c r="A15" t="s">
        <v>37</v>
      </c>
      <c r="B15">
        <v>0</v>
      </c>
      <c r="K15" t="s">
        <v>37</v>
      </c>
      <c r="L15">
        <v>0</v>
      </c>
    </row>
  </sheetData>
  <mergeCells count="2">
    <mergeCell ref="A1:I2"/>
    <mergeCell ref="K1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Mid Term</vt:lpstr>
      <vt:lpstr>Final Term</vt:lpstr>
      <vt:lpstr>Mid Term LabTask</vt:lpstr>
      <vt:lpstr>Final Term LabTask</vt:lpstr>
      <vt:lpstr>VIVA</vt:lpstr>
      <vt:lpstr>Signing Sheet</vt:lpstr>
      <vt:lpstr>Grade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 KUMAR DAS</dc:creator>
  <cp:lastModifiedBy>SUDIPTA KUMAR DAS</cp:lastModifiedBy>
  <cp:lastPrinted>2026-08-27T01:48:39Z</cp:lastPrinted>
  <dcterms:created xsi:type="dcterms:W3CDTF">2015-06-05T18:17:20Z</dcterms:created>
  <dcterms:modified xsi:type="dcterms:W3CDTF">2026-09-21T22:00:37Z</dcterms:modified>
</cp:coreProperties>
</file>