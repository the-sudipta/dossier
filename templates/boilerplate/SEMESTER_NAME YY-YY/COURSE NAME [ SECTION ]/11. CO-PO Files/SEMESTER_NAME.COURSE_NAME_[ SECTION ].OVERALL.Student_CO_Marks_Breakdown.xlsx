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DS Lab Template\Sudipta Kumar Das_DS Lab_docs\DS Lab [ A ]\"/>
    </mc:Choice>
  </mc:AlternateContent>
  <xr:revisionPtr revIDLastSave="0" documentId="13_ncr:1_{60FDE171-A2AA-4CFF-87BC-D8FA20E5948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 MARKS BREAKDOWN" sheetId="1" r:id="rId1"/>
    <sheet name="CONVERTER" sheetId="2" r:id="rId2"/>
    <sheet name="OB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I31" i="2"/>
  <c r="I32" i="2"/>
  <c r="I33" i="2"/>
  <c r="I34" i="2"/>
  <c r="I35" i="2"/>
  <c r="I36" i="2"/>
  <c r="N57" i="2" l="1"/>
  <c r="O57" i="2"/>
  <c r="N58" i="2"/>
  <c r="O58" i="2"/>
  <c r="N59" i="2"/>
  <c r="O59" i="2"/>
  <c r="Q59" i="2" s="1"/>
  <c r="O56" i="2"/>
  <c r="N56" i="2"/>
  <c r="N38" i="2"/>
  <c r="N40" i="2"/>
  <c r="N39" i="2"/>
  <c r="N37" i="2"/>
  <c r="Q56" i="2" l="1"/>
  <c r="P56" i="2"/>
  <c r="Q58" i="2"/>
  <c r="P58" i="2"/>
  <c r="P59" i="2"/>
  <c r="Q5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2" i="2"/>
  <c r="R40" i="2" l="1"/>
  <c r="S40" i="2"/>
  <c r="O40" i="2"/>
  <c r="P40" i="2"/>
  <c r="Q40" i="2"/>
  <c r="S39" i="2"/>
  <c r="R39" i="2"/>
  <c r="Q39" i="2"/>
  <c r="P39" i="2"/>
  <c r="O39" i="2"/>
  <c r="S38" i="2"/>
  <c r="R38" i="2"/>
  <c r="Q38" i="2"/>
  <c r="P38" i="2"/>
  <c r="O38" i="2"/>
  <c r="S37" i="2"/>
  <c r="O37" i="2"/>
  <c r="R37" i="2"/>
  <c r="Q37" i="2"/>
  <c r="P37" i="2"/>
</calcChain>
</file>

<file path=xl/sharedStrings.xml><?xml version="1.0" encoding="utf-8"?>
<sst xmlns="http://schemas.openxmlformats.org/spreadsheetml/2006/main" count="277" uniqueCount="119">
  <si>
    <t>SL</t>
  </si>
  <si>
    <t>Student ID</t>
  </si>
  <si>
    <t>Student Name</t>
  </si>
  <si>
    <t>Usage Id. /5</t>
  </si>
  <si>
    <t>Content Kn. /5</t>
  </si>
  <si>
    <t>Total /10</t>
  </si>
  <si>
    <t>Understand /5</t>
  </si>
  <si>
    <t>Logical An. /5</t>
  </si>
  <si>
    <t>Coding St. /5</t>
  </si>
  <si>
    <t>Total /15</t>
  </si>
  <si>
    <t>Problem An. /5</t>
  </si>
  <si>
    <t>Complete. /5</t>
  </si>
  <si>
    <t>OOP Princ. /5</t>
  </si>
  <si>
    <t>Entirety /5</t>
  </si>
  <si>
    <t>CO1 - Mid Lab Task (Marks-15)</t>
  </si>
  <si>
    <t>CO3 - Final Lab Task (Marks-15)</t>
  </si>
  <si>
    <t>CO4 - Final Lab Exam (Marks-15)</t>
  </si>
  <si>
    <t>22-49886-3</t>
  </si>
  <si>
    <t>FAIJUR SIKDER</t>
  </si>
  <si>
    <t>23-51512-1</t>
  </si>
  <si>
    <t>NAFIS MAHMOOD</t>
  </si>
  <si>
    <t>23-51805-2</t>
  </si>
  <si>
    <t>RONY BISHWAS</t>
  </si>
  <si>
    <t>23-51943-2</t>
  </si>
  <si>
    <t>MD. ISHTEAK KABIR ABHI</t>
  </si>
  <si>
    <t>23-51966-2</t>
  </si>
  <si>
    <t>NAIRITA TALUKDER</t>
  </si>
  <si>
    <t>23-52408-2</t>
  </si>
  <si>
    <t>SALMAN SADI</t>
  </si>
  <si>
    <t>23-53445-3</t>
  </si>
  <si>
    <t>MD SHARIAR SHEIKH HRIDOY</t>
  </si>
  <si>
    <t>23-53820-3</t>
  </si>
  <si>
    <t>PURNIMA BASAK</t>
  </si>
  <si>
    <t>23-53937-3</t>
  </si>
  <si>
    <t>MUHHAMAD FAHIM SHEIKH</t>
  </si>
  <si>
    <t>23-54277-3</t>
  </si>
  <si>
    <t>TALHA</t>
  </si>
  <si>
    <t>23-54364-3</t>
  </si>
  <si>
    <t>SUDIPTO MONDAL</t>
  </si>
  <si>
    <t>23-54598-3</t>
  </si>
  <si>
    <t>TAWSIB AHMED SEMANTO</t>
  </si>
  <si>
    <t>23-55702-3</t>
  </si>
  <si>
    <t>MD. ASHIKUR RAHMAN</t>
  </si>
  <si>
    <t>24-55952-1</t>
  </si>
  <si>
    <t>CHIRONJIT TARAFDER</t>
  </si>
  <si>
    <t>24-56043-1</t>
  </si>
  <si>
    <t>SHADMAN KHAN</t>
  </si>
  <si>
    <t>24-56453-1</t>
  </si>
  <si>
    <t>MD. DIDARUL ISLAM</t>
  </si>
  <si>
    <t>24-56740-1</t>
  </si>
  <si>
    <t>KHAZA MD. EASTANUL HUQ TURAG</t>
  </si>
  <si>
    <t>24-56770-1</t>
  </si>
  <si>
    <t>MOHAMMED ADIL HASNAT</t>
  </si>
  <si>
    <t>24-57668-2</t>
  </si>
  <si>
    <t>MAHDI NEAZ MAHI</t>
  </si>
  <si>
    <t>24-57829-2</t>
  </si>
  <si>
    <t>MD. ARIFUR RAHMAN</t>
  </si>
  <si>
    <t>24-57904-2</t>
  </si>
  <si>
    <t>SINTHIA AFROZ BIZU</t>
  </si>
  <si>
    <t>24-58140-2</t>
  </si>
  <si>
    <t>SADMAN ISLAM JIM</t>
  </si>
  <si>
    <t>24-58799-2</t>
  </si>
  <si>
    <t>TAWSIF AHMED</t>
  </si>
  <si>
    <t>24-59545-3</t>
  </si>
  <si>
    <t>SHARMIN JAHAN DIPTY</t>
  </si>
  <si>
    <t>24-60328-3</t>
  </si>
  <si>
    <t>KASHFIHA HANNAN</t>
  </si>
  <si>
    <t>25-61809-2</t>
  </si>
  <si>
    <t>MD WASI AHBAB</t>
  </si>
  <si>
    <t>25-61836-2</t>
  </si>
  <si>
    <t>PIUSH CHAKI</t>
  </si>
  <si>
    <t>25-62638-2</t>
  </si>
  <si>
    <t>MD. SHAHRIAR ISLAM CHOMOK</t>
  </si>
  <si>
    <t>25-62864-2</t>
  </si>
  <si>
    <t>SOUVICK DAS LOBDHI</t>
  </si>
  <si>
    <t>Name</t>
  </si>
  <si>
    <t>Mid-Lab Exam 
Converted to 15</t>
  </si>
  <si>
    <t>Mid LabTask
Converted to 15</t>
  </si>
  <si>
    <t>Mid LabTask [30]</t>
  </si>
  <si>
    <t>Final LabTask [30]</t>
  </si>
  <si>
    <t>Final-Lab Exam 
Converted to 15</t>
  </si>
  <si>
    <t>Final-LabTask 
Converted to 15</t>
  </si>
  <si>
    <t>Total Students</t>
  </si>
  <si>
    <t>Average Score (Out of 15)</t>
  </si>
  <si>
    <t>Maximum Score (Out of 15)</t>
  </si>
  <si>
    <t>Minimum Score (Out of 15)</t>
  </si>
  <si>
    <t>CO1</t>
  </si>
  <si>
    <t>CO2</t>
  </si>
  <si>
    <t>CO3</t>
  </si>
  <si>
    <t>CO4</t>
  </si>
  <si>
    <t>Above 60% marks</t>
  </si>
  <si>
    <t>Above 50% marks</t>
  </si>
  <si>
    <t>CO</t>
  </si>
  <si>
    <t>Total Student</t>
  </si>
  <si>
    <t>Pass Count</t>
  </si>
  <si>
    <t>Pass %</t>
  </si>
  <si>
    <t>Fail Count</t>
  </si>
  <si>
    <t>Fail %</t>
  </si>
  <si>
    <t>Attained</t>
  </si>
  <si>
    <t>Not Attained</t>
  </si>
  <si>
    <t>Attained (%)</t>
  </si>
  <si>
    <t>Not Attained (%)</t>
  </si>
  <si>
    <t>23-51583-2</t>
  </si>
  <si>
    <t>ANURAG KASHYAPI</t>
  </si>
  <si>
    <t>23-52030-2</t>
  </si>
  <si>
    <t>ADEEB SHADMAN</t>
  </si>
  <si>
    <t>23-55479-3</t>
  </si>
  <si>
    <t>TAMJID BIN TAHER</t>
  </si>
  <si>
    <t>23-55725-3</t>
  </si>
  <si>
    <t>PULOK MITRA SHOWRAV</t>
  </si>
  <si>
    <t>24-56821-1</t>
  </si>
  <si>
    <t>MD. ASHNAF SHAHARIAR ASIF</t>
  </si>
  <si>
    <t>24-58559-2</t>
  </si>
  <si>
    <t>MOHAMMAD ALI</t>
  </si>
  <si>
    <t>Final-Lab [40]</t>
  </si>
  <si>
    <t>Mid-Lab-OBE [15]</t>
  </si>
  <si>
    <t>CO2 - Mid Lab OBE (Marks-15)</t>
  </si>
  <si>
    <t>Mid - Labtask</t>
  </si>
  <si>
    <t>Final - Labtask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</si>
</sst>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mbria"/>
      <charset val="134"/>
    </font>
    <font>
      <sz val="12"/>
      <color theme="1"/>
      <name val="Times New Roman"/>
      <charset val="134"/>
    </font>
    <font>
      <sz val="11"/>
      <color rgb="FF006100"/>
      <name val="Aptos Narrow"/>
      <family val="2"/>
      <scheme val="minor"/>
    </font>
    <font>
      <sz val="11"/>
      <name val="Calibri"/>
    </font>
    <font>
      <b/>
      <sz val="12"/>
      <name val="Times New Roman"/>
      <family val="1"/>
    </font>
    <font>
      <sz val="11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charset val="134"/>
      <scheme val="minor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6" fillId="4" borderId="0" applyNumberFormat="0" applyBorder="0" applyAlignment="0" applyProtection="0"/>
    <xf numFmtId="0" fontId="3" fillId="0" borderId="0"/>
    <xf numFmtId="0" fontId="3" fillId="5" borderId="5" applyNumberFormat="0" applyFont="0" applyAlignment="0" applyProtection="0"/>
    <xf numFmtId="0" fontId="7" fillId="0" borderId="0"/>
    <xf numFmtId="0" fontId="9" fillId="0" borderId="0"/>
    <xf numFmtId="0" fontId="15" fillId="5" borderId="5" applyNumberFormat="0" applyFont="0" applyAlignment="0" applyProtection="0"/>
    <xf numFmtId="0" fontId="2" fillId="0" borderId="0"/>
    <xf numFmtId="0" fontId="2" fillId="5" borderId="5" applyNumberFormat="0" applyFont="0" applyAlignment="0" applyProtection="0"/>
    <xf numFmtId="0" fontId="1" fillId="0" borderId="0"/>
    <xf numFmtId="0" fontId="1" fillId="5" borderId="5" applyNumberFormat="0" applyFont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0" xfId="0" applyFont="1"/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16" fillId="0" borderId="1" xfId="6" applyFont="1" applyFill="1" applyBorder="1" applyAlignment="1">
      <alignment horizontal="center" vertical="center"/>
    </xf>
    <xf numFmtId="0" fontId="7" fillId="0" borderId="1" xfId="4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6" fillId="0" borderId="0" xfId="6" applyFont="1" applyFill="1" applyBorder="1" applyAlignment="1">
      <alignment horizontal="center" vertical="center"/>
    </xf>
    <xf numFmtId="0" fontId="7" fillId="0" borderId="0" xfId="4" applyAlignment="1">
      <alignment vertical="center"/>
    </xf>
    <xf numFmtId="0" fontId="0" fillId="0" borderId="6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9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1">
    <cellStyle name="Good" xfId="1" builtinId="26"/>
    <cellStyle name="Normal" xfId="0" builtinId="0"/>
    <cellStyle name="Normal 2" xfId="4" xr:uid="{76C986FB-B860-48EC-BF9B-141F43D79D16}"/>
    <cellStyle name="Normal 2 2" xfId="5" xr:uid="{4C93B3A6-36FE-45D2-9316-89C41FB5D510}"/>
    <cellStyle name="Normal 3" xfId="2" xr:uid="{255012EB-CC77-47E1-A164-5AFCF042D1DA}"/>
    <cellStyle name="Normal 4" xfId="7" xr:uid="{A30B030C-71AC-4F0F-8802-224A66629016}"/>
    <cellStyle name="Normal 5" xfId="9" xr:uid="{A6A6C948-37AC-466E-A8EE-7A67D266D19D}"/>
    <cellStyle name="Note" xfId="6" builtinId="10"/>
    <cellStyle name="Note 2" xfId="3" xr:uid="{F5B60AA7-7727-4B8B-BAE3-E68FA68DF987}"/>
    <cellStyle name="Note 3" xfId="8" xr:uid="{C462CC84-2CB9-4B25-BDF7-955A9C524DE8}"/>
    <cellStyle name="Note 4" xfId="10" xr:uid="{8DCED2AC-6F8A-4D2A-B02E-9547E6E6C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E1E1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 Attainment Summary</a:t>
            </a:r>
          </a:p>
          <a:p>
            <a:pPr>
              <a:defRPr sz="1300" b="1">
                <a:solidFill>
                  <a:srgbClr val="1E1E1E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
</a:t>
            </a:r>
            <a:r>
              <a:rPr lang="en-US" sz="900" b="0">
                <a:solidFill>
                  <a:srgbClr val="6E6E6E"/>
                </a:solidFill>
              </a:rPr>
              <a:t>Attainment Criterion: 60%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E1E1E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Attained</c:v>
          </c:tx>
          <c:spPr>
            <a:solidFill>
              <a:srgbClr val="1F77B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CONVERTER!$M$56:$M$59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CONVERTER!$N$56:$N$59</c:f>
              <c:numCache>
                <c:formatCode>General</c:formatCode>
                <c:ptCount val="4"/>
                <c:pt idx="0">
                  <c:v>30</c:v>
                </c:pt>
                <c:pt idx="1">
                  <c:v>21</c:v>
                </c:pt>
                <c:pt idx="2">
                  <c:v>29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8B9-A7A1-DD7E4ABAF429}"/>
            </c:ext>
          </c:extLst>
        </c:ser>
        <c:ser>
          <c:idx val="1"/>
          <c:order val="1"/>
          <c:tx>
            <c:v>Not Attained</c:v>
          </c:tx>
          <c:spPr>
            <a:solidFill>
              <a:srgbClr val="FF7F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rgbClr val="1E1E1E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CONVERTER!$M$56:$M$59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CONVERTER!$O$56:$O$59</c:f>
              <c:numCache>
                <c:formatCode>General</c:formatCode>
                <c:ptCount val="4"/>
                <c:pt idx="0">
                  <c:v>5</c:v>
                </c:pt>
                <c:pt idx="1">
                  <c:v>14</c:v>
                </c:pt>
                <c:pt idx="2">
                  <c:v>6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3-48B9-A7A1-DD7E4ABA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034781312"/>
        <c:axId val="450244656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>
                  <a:solidFill>
                    <a:srgbClr val="196B24"/>
                  </a:solidFill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85.7%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EC3-48B9-A7A1-DD7E4ABAF4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60.0%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EC3-48B9-A7A1-DD7E4ABAF4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82.9%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EC3-48B9-A7A1-DD7E4ABAF4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25.7%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EC3-48B9-A7A1-DD7E4ABAF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E1E1E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CO1</c:v>
              </c:pt>
              <c:pt idx="1">
                <c:v>CO2</c:v>
              </c:pt>
              <c:pt idx="2">
                <c:v>CO3</c:v>
              </c:pt>
              <c:pt idx="3">
                <c:v>CO4</c:v>
              </c:pt>
            </c:strLit>
          </c:cat>
          <c:val>
            <c:numLit>
              <c:formatCode>General</c:formatCode>
              <c:ptCount val="4"/>
              <c:pt idx="0">
                <c:v>35</c:v>
              </c:pt>
              <c:pt idx="1">
                <c:v>35</c:v>
              </c:pt>
              <c:pt idx="2">
                <c:v>35</c:v>
              </c:pt>
              <c:pt idx="3">
                <c:v>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EC3-48B9-A7A1-DD7E4ABA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781312"/>
        <c:axId val="450244656"/>
      </c:lineChart>
      <c:catAx>
        <c:axId val="103478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787878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CO1: Mid</a:t>
                </a:r>
                <a:r>
                  <a:rPr lang="en-US" baseline="0"/>
                  <a:t> Lab Task</a:t>
                </a:r>
                <a:r>
                  <a:rPr lang="en-US"/>
                  <a:t>   •   CO2: Mid Lab OBE   •   CO3: Final Lab Task   •   CO4: Final Lab Exam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rgbClr val="787878"/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87878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28282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450244656"/>
        <c:crosses val="autoZero"/>
        <c:auto val="1"/>
        <c:lblAlgn val="ctr"/>
        <c:lblOffset val="100"/>
        <c:noMultiLvlLbl val="0"/>
      </c:catAx>
      <c:valAx>
        <c:axId val="450244656"/>
        <c:scaling>
          <c:orientation val="minMax"/>
          <c:max val="45"/>
          <c:min val="0"/>
        </c:scaling>
        <c:delete val="0"/>
        <c:axPos val="l"/>
        <c:majorGridlines>
          <c:spPr>
            <a:ln w="6350" cap="flat" cmpd="sng" algn="ctr">
              <a:solidFill>
                <a:srgbClr val="EBEBEB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50" b="0" i="0" u="none" strike="noStrike" kern="1200" baseline="0">
                    <a:solidFill>
                      <a:srgbClr val="3C3C3C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Number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50" b="0" i="0" u="none" strike="noStrike" kern="1200" baseline="0">
                  <a:solidFill>
                    <a:srgbClr val="3C3C3C"/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787878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0505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34781312"/>
        <c:crosses val="autoZero"/>
        <c:crossBetween val="between"/>
        <c:majorUnit val="5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2"/>
        <c:delete val="1"/>
      </c:legendEntry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rgbClr val="323232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450271</xdr:colOff>
      <xdr:row>41</xdr:row>
      <xdr:rowOff>191366</xdr:rowOff>
    </xdr:from>
    <xdr:to>
      <xdr:col>11</xdr:col>
      <xdr:colOff>402011</xdr:colOff>
      <xdr:row>63</xdr:row>
      <xdr:rowOff>108008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68B1E-7C8D-9C75-0BA2-96EB0C70E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7"/>
  <sheetViews>
    <sheetView zoomScale="70" zoomScaleNormal="70" workbookViewId="0">
      <selection activeCell="D34" sqref="D34:F34"/>
    </sheetView>
  </sheetViews>
  <sheetFormatPr defaultColWidth="11" defaultRowHeight="15.6"/>
  <cols>
    <col min="1" max="1" width="4.8984375" customWidth="1"/>
    <col min="2" max="2" width="12.8984375" customWidth="1"/>
    <col min="3" max="3" width="27.69921875" bestFit="1" customWidth="1"/>
    <col min="4" max="4" width="12" customWidth="1"/>
    <col min="5" max="5" width="14.3984375" customWidth="1"/>
    <col min="6" max="6" width="9.8984375" customWidth="1"/>
    <col min="7" max="10" width="8.59765625" customWidth="1"/>
    <col min="11" max="14" width="8.3984375" customWidth="1"/>
    <col min="15" max="18" width="8.5" customWidth="1"/>
  </cols>
  <sheetData>
    <row r="1" spans="1:18" ht="35.1" customHeight="1">
      <c r="A1" s="1" t="s">
        <v>0</v>
      </c>
      <c r="B1" s="1" t="s">
        <v>1</v>
      </c>
      <c r="C1" s="1" t="s">
        <v>2</v>
      </c>
      <c r="D1" s="27" t="s">
        <v>14</v>
      </c>
      <c r="E1" s="27"/>
      <c r="F1" s="27"/>
      <c r="G1" s="27" t="s">
        <v>116</v>
      </c>
      <c r="H1" s="27"/>
      <c r="I1" s="27"/>
      <c r="J1" s="27"/>
      <c r="K1" s="27" t="s">
        <v>15</v>
      </c>
      <c r="L1" s="27"/>
      <c r="M1" s="27"/>
      <c r="N1" s="27"/>
      <c r="O1" s="27" t="s">
        <v>16</v>
      </c>
      <c r="P1" s="27"/>
      <c r="Q1" s="27"/>
      <c r="R1" s="27"/>
    </row>
    <row r="2" spans="1:18" hidden="1">
      <c r="A2" s="2"/>
      <c r="B2" s="2"/>
      <c r="C2" s="2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4</v>
      </c>
      <c r="M2" s="3" t="s">
        <v>11</v>
      </c>
      <c r="N2" s="3" t="s">
        <v>9</v>
      </c>
      <c r="O2" s="3" t="s">
        <v>12</v>
      </c>
      <c r="P2" s="3" t="s">
        <v>10</v>
      </c>
      <c r="Q2" s="3" t="s">
        <v>13</v>
      </c>
      <c r="R2" s="3" t="s">
        <v>9</v>
      </c>
    </row>
    <row r="3" spans="1:18">
      <c r="A3" s="13">
        <v>1</v>
      </c>
      <c r="B3" s="14" t="s">
        <v>17</v>
      </c>
      <c r="C3" s="14" t="s">
        <v>18</v>
      </c>
      <c r="D3" s="24">
        <v>12.5</v>
      </c>
      <c r="E3" s="25"/>
      <c r="F3" s="26"/>
      <c r="G3" s="24">
        <v>15</v>
      </c>
      <c r="H3" s="25"/>
      <c r="I3" s="25"/>
      <c r="J3" s="26"/>
      <c r="K3" s="24">
        <v>11.5</v>
      </c>
      <c r="L3" s="25"/>
      <c r="M3" s="25"/>
      <c r="N3" s="26"/>
      <c r="O3" s="24">
        <v>7.125</v>
      </c>
      <c r="P3" s="25"/>
      <c r="Q3" s="25"/>
      <c r="R3" s="26"/>
    </row>
    <row r="4" spans="1:18">
      <c r="A4" s="13">
        <v>2</v>
      </c>
      <c r="B4" s="14" t="s">
        <v>19</v>
      </c>
      <c r="C4" s="14" t="s">
        <v>20</v>
      </c>
      <c r="D4" s="24">
        <v>11.5</v>
      </c>
      <c r="E4" s="25"/>
      <c r="F4" s="26"/>
      <c r="G4" s="24">
        <v>11</v>
      </c>
      <c r="H4" s="25"/>
      <c r="I4" s="25"/>
      <c r="J4" s="26"/>
      <c r="K4" s="24">
        <v>13.5</v>
      </c>
      <c r="L4" s="25"/>
      <c r="M4" s="25"/>
      <c r="N4" s="26"/>
      <c r="O4" s="24">
        <v>4.125</v>
      </c>
      <c r="P4" s="25"/>
      <c r="Q4" s="25"/>
      <c r="R4" s="26"/>
    </row>
    <row r="5" spans="1:18">
      <c r="A5" s="13">
        <v>3</v>
      </c>
      <c r="B5" s="14" t="s">
        <v>102</v>
      </c>
      <c r="C5" s="14" t="s">
        <v>103</v>
      </c>
      <c r="D5" s="24">
        <v>0</v>
      </c>
      <c r="E5" s="25"/>
      <c r="F5" s="26"/>
      <c r="G5" s="24">
        <v>0</v>
      </c>
      <c r="H5" s="25"/>
      <c r="I5" s="25"/>
      <c r="J5" s="26"/>
      <c r="K5" s="24">
        <v>0</v>
      </c>
      <c r="L5" s="25"/>
      <c r="M5" s="25"/>
      <c r="N5" s="26"/>
      <c r="O5" s="24">
        <v>0</v>
      </c>
      <c r="P5" s="25"/>
      <c r="Q5" s="25"/>
      <c r="R5" s="26"/>
    </row>
    <row r="6" spans="1:18">
      <c r="A6" s="13">
        <v>4</v>
      </c>
      <c r="B6" s="14" t="s">
        <v>21</v>
      </c>
      <c r="C6" s="14" t="s">
        <v>22</v>
      </c>
      <c r="D6" s="24">
        <v>13.5</v>
      </c>
      <c r="E6" s="25"/>
      <c r="F6" s="26"/>
      <c r="G6" s="24">
        <v>9</v>
      </c>
      <c r="H6" s="25"/>
      <c r="I6" s="25"/>
      <c r="J6" s="26"/>
      <c r="K6" s="24">
        <v>13</v>
      </c>
      <c r="L6" s="25"/>
      <c r="M6" s="25"/>
      <c r="N6" s="26"/>
      <c r="O6" s="24">
        <v>3.75</v>
      </c>
      <c r="P6" s="25"/>
      <c r="Q6" s="25"/>
      <c r="R6" s="26"/>
    </row>
    <row r="7" spans="1:18">
      <c r="A7" s="13">
        <v>5</v>
      </c>
      <c r="B7" s="14" t="s">
        <v>23</v>
      </c>
      <c r="C7" s="14" t="s">
        <v>24</v>
      </c>
      <c r="D7" s="24">
        <v>13</v>
      </c>
      <c r="E7" s="25"/>
      <c r="F7" s="26"/>
      <c r="G7" s="24">
        <v>7</v>
      </c>
      <c r="H7" s="25"/>
      <c r="I7" s="25"/>
      <c r="J7" s="26"/>
      <c r="K7" s="24">
        <v>11</v>
      </c>
      <c r="L7" s="25"/>
      <c r="M7" s="25"/>
      <c r="N7" s="26"/>
      <c r="O7" s="24">
        <v>4.125</v>
      </c>
      <c r="P7" s="25"/>
      <c r="Q7" s="25"/>
      <c r="R7" s="26"/>
    </row>
    <row r="8" spans="1:18">
      <c r="A8" s="13">
        <v>6</v>
      </c>
      <c r="B8" s="14" t="s">
        <v>25</v>
      </c>
      <c r="C8" s="14" t="s">
        <v>26</v>
      </c>
      <c r="D8" s="24">
        <v>13</v>
      </c>
      <c r="E8" s="25"/>
      <c r="F8" s="26"/>
      <c r="G8" s="24">
        <v>6</v>
      </c>
      <c r="H8" s="25"/>
      <c r="I8" s="25"/>
      <c r="J8" s="26"/>
      <c r="K8" s="24">
        <v>12</v>
      </c>
      <c r="L8" s="25"/>
      <c r="M8" s="25"/>
      <c r="N8" s="26"/>
      <c r="O8" s="24">
        <v>4.5</v>
      </c>
      <c r="P8" s="25"/>
      <c r="Q8" s="25"/>
      <c r="R8" s="26"/>
    </row>
    <row r="9" spans="1:18">
      <c r="A9" s="13">
        <v>7</v>
      </c>
      <c r="B9" s="14" t="s">
        <v>104</v>
      </c>
      <c r="C9" s="14" t="s">
        <v>105</v>
      </c>
      <c r="D9" s="24">
        <v>0</v>
      </c>
      <c r="E9" s="25"/>
      <c r="F9" s="26"/>
      <c r="G9" s="24">
        <v>0</v>
      </c>
      <c r="H9" s="25"/>
      <c r="I9" s="25"/>
      <c r="J9" s="26"/>
      <c r="K9" s="24">
        <v>0</v>
      </c>
      <c r="L9" s="25"/>
      <c r="M9" s="25"/>
      <c r="N9" s="26"/>
      <c r="O9" s="24">
        <v>0</v>
      </c>
      <c r="P9" s="25"/>
      <c r="Q9" s="25"/>
      <c r="R9" s="26"/>
    </row>
    <row r="10" spans="1:18">
      <c r="A10" s="13">
        <v>8</v>
      </c>
      <c r="B10" s="14" t="s">
        <v>27</v>
      </c>
      <c r="C10" s="14" t="s">
        <v>28</v>
      </c>
      <c r="D10" s="24">
        <v>12.5</v>
      </c>
      <c r="E10" s="25"/>
      <c r="F10" s="26"/>
      <c r="G10" s="24">
        <v>12</v>
      </c>
      <c r="H10" s="25"/>
      <c r="I10" s="25"/>
      <c r="J10" s="26"/>
      <c r="K10" s="24">
        <v>13.5</v>
      </c>
      <c r="L10" s="25"/>
      <c r="M10" s="25"/>
      <c r="N10" s="26"/>
      <c r="O10" s="24">
        <v>4.125</v>
      </c>
      <c r="P10" s="25"/>
      <c r="Q10" s="25"/>
      <c r="R10" s="26"/>
    </row>
    <row r="11" spans="1:18">
      <c r="A11" s="13">
        <v>9</v>
      </c>
      <c r="B11" s="14" t="s">
        <v>29</v>
      </c>
      <c r="C11" s="14" t="s">
        <v>30</v>
      </c>
      <c r="D11" s="24">
        <v>12.5</v>
      </c>
      <c r="E11" s="25"/>
      <c r="F11" s="26"/>
      <c r="G11" s="24">
        <v>6</v>
      </c>
      <c r="H11" s="25"/>
      <c r="I11" s="25"/>
      <c r="J11" s="26"/>
      <c r="K11" s="24">
        <v>13</v>
      </c>
      <c r="L11" s="25"/>
      <c r="M11" s="25"/>
      <c r="N11" s="26"/>
      <c r="O11" s="24">
        <v>11.25</v>
      </c>
      <c r="P11" s="25"/>
      <c r="Q11" s="25"/>
      <c r="R11" s="26"/>
    </row>
    <row r="12" spans="1:18">
      <c r="A12" s="13">
        <v>10</v>
      </c>
      <c r="B12" s="14" t="s">
        <v>31</v>
      </c>
      <c r="C12" s="14" t="s">
        <v>32</v>
      </c>
      <c r="D12" s="24">
        <v>12</v>
      </c>
      <c r="E12" s="25"/>
      <c r="F12" s="26"/>
      <c r="G12" s="24">
        <v>8</v>
      </c>
      <c r="H12" s="25"/>
      <c r="I12" s="25"/>
      <c r="J12" s="26"/>
      <c r="K12" s="24">
        <v>13</v>
      </c>
      <c r="L12" s="25"/>
      <c r="M12" s="25"/>
      <c r="N12" s="26"/>
      <c r="O12" s="24">
        <v>10.875</v>
      </c>
      <c r="P12" s="25"/>
      <c r="Q12" s="25"/>
      <c r="R12" s="26"/>
    </row>
    <row r="13" spans="1:18">
      <c r="A13" s="13">
        <v>11</v>
      </c>
      <c r="B13" s="14" t="s">
        <v>33</v>
      </c>
      <c r="C13" s="14" t="s">
        <v>34</v>
      </c>
      <c r="D13" s="24">
        <v>12.5</v>
      </c>
      <c r="E13" s="25"/>
      <c r="F13" s="26"/>
      <c r="G13" s="24">
        <v>12</v>
      </c>
      <c r="H13" s="25"/>
      <c r="I13" s="25"/>
      <c r="J13" s="26"/>
      <c r="K13" s="24">
        <v>12.5</v>
      </c>
      <c r="L13" s="25"/>
      <c r="M13" s="25"/>
      <c r="N13" s="26"/>
      <c r="O13" s="24">
        <v>4.5</v>
      </c>
      <c r="P13" s="25"/>
      <c r="Q13" s="25"/>
      <c r="R13" s="26"/>
    </row>
    <row r="14" spans="1:18">
      <c r="A14" s="13">
        <v>12</v>
      </c>
      <c r="B14" s="14" t="s">
        <v>35</v>
      </c>
      <c r="C14" s="14" t="s">
        <v>36</v>
      </c>
      <c r="D14" s="24">
        <v>12</v>
      </c>
      <c r="E14" s="25"/>
      <c r="F14" s="26"/>
      <c r="G14" s="24">
        <v>13</v>
      </c>
      <c r="H14" s="25"/>
      <c r="I14" s="25"/>
      <c r="J14" s="26"/>
      <c r="K14" s="24">
        <v>11</v>
      </c>
      <c r="L14" s="25"/>
      <c r="M14" s="25"/>
      <c r="N14" s="26"/>
      <c r="O14" s="24">
        <v>6.75</v>
      </c>
      <c r="P14" s="25"/>
      <c r="Q14" s="25"/>
      <c r="R14" s="26"/>
    </row>
    <row r="15" spans="1:18">
      <c r="A15" s="13">
        <v>13</v>
      </c>
      <c r="B15" s="14" t="s">
        <v>37</v>
      </c>
      <c r="C15" s="14" t="s">
        <v>38</v>
      </c>
      <c r="D15" s="24">
        <v>13.5</v>
      </c>
      <c r="E15" s="25"/>
      <c r="F15" s="26"/>
      <c r="G15" s="24">
        <v>13</v>
      </c>
      <c r="H15" s="25"/>
      <c r="I15" s="25"/>
      <c r="J15" s="26"/>
      <c r="K15" s="24">
        <v>14</v>
      </c>
      <c r="L15" s="25"/>
      <c r="M15" s="25"/>
      <c r="N15" s="26"/>
      <c r="O15" s="24">
        <v>10.875</v>
      </c>
      <c r="P15" s="25"/>
      <c r="Q15" s="25"/>
      <c r="R15" s="26"/>
    </row>
    <row r="16" spans="1:18">
      <c r="A16" s="13">
        <v>14</v>
      </c>
      <c r="B16" s="14" t="s">
        <v>39</v>
      </c>
      <c r="C16" s="14" t="s">
        <v>40</v>
      </c>
      <c r="D16" s="24">
        <v>12.5</v>
      </c>
      <c r="E16" s="25"/>
      <c r="F16" s="26"/>
      <c r="G16" s="24">
        <v>9</v>
      </c>
      <c r="H16" s="25"/>
      <c r="I16" s="25"/>
      <c r="J16" s="26"/>
      <c r="K16" s="24">
        <v>12.5</v>
      </c>
      <c r="L16" s="25"/>
      <c r="M16" s="25"/>
      <c r="N16" s="26"/>
      <c r="O16" s="24">
        <v>0</v>
      </c>
      <c r="P16" s="25"/>
      <c r="Q16" s="25"/>
      <c r="R16" s="26"/>
    </row>
    <row r="17" spans="1:18">
      <c r="A17" s="13">
        <v>15</v>
      </c>
      <c r="B17" s="14" t="s">
        <v>106</v>
      </c>
      <c r="C17" s="14" t="s">
        <v>107</v>
      </c>
      <c r="D17" s="24">
        <v>13</v>
      </c>
      <c r="E17" s="25"/>
      <c r="F17" s="26"/>
      <c r="G17" s="24">
        <v>9</v>
      </c>
      <c r="H17" s="25"/>
      <c r="I17" s="25"/>
      <c r="J17" s="26"/>
      <c r="K17" s="24">
        <v>0</v>
      </c>
      <c r="L17" s="25"/>
      <c r="M17" s="25"/>
      <c r="N17" s="26"/>
      <c r="O17" s="24">
        <v>0</v>
      </c>
      <c r="P17" s="25"/>
      <c r="Q17" s="25"/>
      <c r="R17" s="26"/>
    </row>
    <row r="18" spans="1:18">
      <c r="A18" s="13">
        <v>16</v>
      </c>
      <c r="B18" s="14" t="s">
        <v>41</v>
      </c>
      <c r="C18" s="14" t="s">
        <v>42</v>
      </c>
      <c r="D18" s="24">
        <v>12.5</v>
      </c>
      <c r="E18" s="25"/>
      <c r="F18" s="26"/>
      <c r="G18" s="24">
        <v>9</v>
      </c>
      <c r="H18" s="25"/>
      <c r="I18" s="25"/>
      <c r="J18" s="26"/>
      <c r="K18" s="24">
        <v>13</v>
      </c>
      <c r="L18" s="25"/>
      <c r="M18" s="25"/>
      <c r="N18" s="26"/>
      <c r="O18" s="24">
        <v>7.5</v>
      </c>
      <c r="P18" s="25"/>
      <c r="Q18" s="25"/>
      <c r="R18" s="26"/>
    </row>
    <row r="19" spans="1:18">
      <c r="A19" s="13">
        <v>17</v>
      </c>
      <c r="B19" s="14" t="s">
        <v>108</v>
      </c>
      <c r="C19" s="14" t="s">
        <v>109</v>
      </c>
      <c r="D19" s="24">
        <v>0</v>
      </c>
      <c r="E19" s="25"/>
      <c r="F19" s="26"/>
      <c r="G19" s="24">
        <v>0</v>
      </c>
      <c r="H19" s="25"/>
      <c r="I19" s="25"/>
      <c r="J19" s="26"/>
      <c r="K19" s="24">
        <v>0</v>
      </c>
      <c r="L19" s="25"/>
      <c r="M19" s="25"/>
      <c r="N19" s="26"/>
      <c r="O19" s="24">
        <v>0</v>
      </c>
      <c r="P19" s="25"/>
      <c r="Q19" s="25"/>
      <c r="R19" s="26"/>
    </row>
    <row r="20" spans="1:18">
      <c r="A20" s="13">
        <v>18</v>
      </c>
      <c r="B20" s="14" t="s">
        <v>43</v>
      </c>
      <c r="C20" s="14" t="s">
        <v>44</v>
      </c>
      <c r="D20" s="24">
        <v>13</v>
      </c>
      <c r="E20" s="25"/>
      <c r="F20" s="26"/>
      <c r="G20" s="24">
        <v>9</v>
      </c>
      <c r="H20" s="25"/>
      <c r="I20" s="25"/>
      <c r="J20" s="26"/>
      <c r="K20" s="24">
        <v>12</v>
      </c>
      <c r="L20" s="25"/>
      <c r="M20" s="25"/>
      <c r="N20" s="26"/>
      <c r="O20" s="24">
        <v>3.375</v>
      </c>
      <c r="P20" s="25"/>
      <c r="Q20" s="25"/>
      <c r="R20" s="26"/>
    </row>
    <row r="21" spans="1:18">
      <c r="A21" s="13">
        <v>19</v>
      </c>
      <c r="B21" s="14" t="s">
        <v>45</v>
      </c>
      <c r="C21" s="14" t="s">
        <v>46</v>
      </c>
      <c r="D21" s="24">
        <v>14</v>
      </c>
      <c r="E21" s="25"/>
      <c r="F21" s="26"/>
      <c r="G21" s="24">
        <v>12</v>
      </c>
      <c r="H21" s="25"/>
      <c r="I21" s="25"/>
      <c r="J21" s="26"/>
      <c r="K21" s="24">
        <v>14</v>
      </c>
      <c r="L21" s="25"/>
      <c r="M21" s="25"/>
      <c r="N21" s="26"/>
      <c r="O21" s="24">
        <v>14.25</v>
      </c>
      <c r="P21" s="25"/>
      <c r="Q21" s="25"/>
      <c r="R21" s="26"/>
    </row>
    <row r="22" spans="1:18">
      <c r="A22" s="13">
        <v>20</v>
      </c>
      <c r="B22" s="14" t="s">
        <v>47</v>
      </c>
      <c r="C22" s="14" t="s">
        <v>48</v>
      </c>
      <c r="D22" s="24">
        <v>12</v>
      </c>
      <c r="E22" s="25"/>
      <c r="F22" s="26"/>
      <c r="G22" s="24">
        <v>11</v>
      </c>
      <c r="H22" s="25"/>
      <c r="I22" s="25"/>
      <c r="J22" s="26"/>
      <c r="K22" s="24">
        <v>13</v>
      </c>
      <c r="L22" s="25"/>
      <c r="M22" s="25"/>
      <c r="N22" s="26"/>
      <c r="O22" s="24">
        <v>6.75</v>
      </c>
      <c r="P22" s="25"/>
      <c r="Q22" s="25"/>
      <c r="R22" s="26"/>
    </row>
    <row r="23" spans="1:18">
      <c r="A23" s="13">
        <v>21</v>
      </c>
      <c r="B23" s="14" t="s">
        <v>49</v>
      </c>
      <c r="C23" s="14" t="s">
        <v>50</v>
      </c>
      <c r="D23" s="24">
        <v>12</v>
      </c>
      <c r="E23" s="25"/>
      <c r="F23" s="26"/>
      <c r="G23" s="24">
        <v>7</v>
      </c>
      <c r="H23" s="25"/>
      <c r="I23" s="25"/>
      <c r="J23" s="26"/>
      <c r="K23" s="24">
        <v>11.5</v>
      </c>
      <c r="L23" s="25"/>
      <c r="M23" s="25"/>
      <c r="N23" s="26"/>
      <c r="O23" s="24">
        <v>4.875</v>
      </c>
      <c r="P23" s="25"/>
      <c r="Q23" s="25"/>
      <c r="R23" s="26"/>
    </row>
    <row r="24" spans="1:18">
      <c r="A24" s="13">
        <v>22</v>
      </c>
      <c r="B24" s="14" t="s">
        <v>51</v>
      </c>
      <c r="C24" s="14" t="s">
        <v>52</v>
      </c>
      <c r="D24" s="24">
        <v>12.5</v>
      </c>
      <c r="E24" s="25"/>
      <c r="F24" s="26"/>
      <c r="G24" s="24">
        <v>14</v>
      </c>
      <c r="H24" s="25"/>
      <c r="I24" s="25"/>
      <c r="J24" s="26"/>
      <c r="K24" s="24">
        <v>11</v>
      </c>
      <c r="L24" s="25"/>
      <c r="M24" s="25"/>
      <c r="N24" s="26"/>
      <c r="O24" s="24">
        <v>4.125</v>
      </c>
      <c r="P24" s="25"/>
      <c r="Q24" s="25"/>
      <c r="R24" s="26"/>
    </row>
    <row r="25" spans="1:18">
      <c r="A25" s="13">
        <v>23</v>
      </c>
      <c r="B25" s="14" t="s">
        <v>110</v>
      </c>
      <c r="C25" s="14" t="s">
        <v>111</v>
      </c>
      <c r="D25" s="24">
        <v>0</v>
      </c>
      <c r="E25" s="25"/>
      <c r="F25" s="26"/>
      <c r="G25" s="24">
        <v>0</v>
      </c>
      <c r="H25" s="25"/>
      <c r="I25" s="25"/>
      <c r="J25" s="26"/>
      <c r="K25" s="24">
        <v>0</v>
      </c>
      <c r="L25" s="25"/>
      <c r="M25" s="25"/>
      <c r="N25" s="26"/>
      <c r="O25" s="24">
        <v>0</v>
      </c>
      <c r="P25" s="25"/>
      <c r="Q25" s="25"/>
      <c r="R25" s="26"/>
    </row>
    <row r="26" spans="1:18">
      <c r="A26" s="13">
        <v>24</v>
      </c>
      <c r="B26" s="14" t="s">
        <v>53</v>
      </c>
      <c r="C26" s="14" t="s">
        <v>54</v>
      </c>
      <c r="D26" s="24">
        <v>12.5</v>
      </c>
      <c r="E26" s="25"/>
      <c r="F26" s="26"/>
      <c r="G26" s="24">
        <v>6</v>
      </c>
      <c r="H26" s="25"/>
      <c r="I26" s="25"/>
      <c r="J26" s="26"/>
      <c r="K26" s="24">
        <v>13</v>
      </c>
      <c r="L26" s="25"/>
      <c r="M26" s="25"/>
      <c r="N26" s="26"/>
      <c r="O26" s="24">
        <v>4.5</v>
      </c>
      <c r="P26" s="25"/>
      <c r="Q26" s="25"/>
      <c r="R26" s="26"/>
    </row>
    <row r="27" spans="1:18">
      <c r="A27" s="13">
        <v>25</v>
      </c>
      <c r="B27" s="14" t="s">
        <v>55</v>
      </c>
      <c r="C27" s="14" t="s">
        <v>56</v>
      </c>
      <c r="D27" s="24">
        <v>13</v>
      </c>
      <c r="E27" s="25"/>
      <c r="F27" s="26"/>
      <c r="G27" s="24">
        <v>11</v>
      </c>
      <c r="H27" s="25"/>
      <c r="I27" s="25"/>
      <c r="J27" s="26"/>
      <c r="K27" s="24">
        <v>14</v>
      </c>
      <c r="L27" s="25"/>
      <c r="M27" s="25"/>
      <c r="N27" s="26"/>
      <c r="O27" s="24">
        <v>11.625</v>
      </c>
      <c r="P27" s="25"/>
      <c r="Q27" s="25"/>
      <c r="R27" s="26"/>
    </row>
    <row r="28" spans="1:18">
      <c r="A28" s="13">
        <v>26</v>
      </c>
      <c r="B28" s="14" t="s">
        <v>57</v>
      </c>
      <c r="C28" s="14" t="s">
        <v>58</v>
      </c>
      <c r="D28" s="24">
        <v>12.5</v>
      </c>
      <c r="E28" s="25"/>
      <c r="F28" s="26"/>
      <c r="G28" s="24">
        <v>11</v>
      </c>
      <c r="H28" s="25"/>
      <c r="I28" s="25"/>
      <c r="J28" s="26"/>
      <c r="K28" s="24">
        <v>13</v>
      </c>
      <c r="L28" s="25"/>
      <c r="M28" s="25"/>
      <c r="N28" s="26"/>
      <c r="O28" s="24">
        <v>10.875</v>
      </c>
      <c r="P28" s="25"/>
      <c r="Q28" s="25"/>
      <c r="R28" s="26"/>
    </row>
    <row r="29" spans="1:18">
      <c r="A29" s="13">
        <v>27</v>
      </c>
      <c r="B29" s="14" t="s">
        <v>59</v>
      </c>
      <c r="C29" s="14" t="s">
        <v>60</v>
      </c>
      <c r="D29" s="24">
        <v>12.5</v>
      </c>
      <c r="E29" s="25"/>
      <c r="F29" s="26"/>
      <c r="G29" s="24">
        <v>9</v>
      </c>
      <c r="H29" s="25"/>
      <c r="I29" s="25"/>
      <c r="J29" s="26"/>
      <c r="K29" s="24">
        <v>13</v>
      </c>
      <c r="L29" s="25"/>
      <c r="M29" s="25"/>
      <c r="N29" s="26"/>
      <c r="O29" s="24">
        <v>7.125</v>
      </c>
      <c r="P29" s="25"/>
      <c r="Q29" s="25"/>
      <c r="R29" s="26"/>
    </row>
    <row r="30" spans="1:18">
      <c r="A30" s="13">
        <v>28</v>
      </c>
      <c r="B30" s="14" t="s">
        <v>112</v>
      </c>
      <c r="C30" s="14" t="s">
        <v>113</v>
      </c>
      <c r="D30" s="24">
        <v>0</v>
      </c>
      <c r="E30" s="25"/>
      <c r="F30" s="26"/>
      <c r="G30" s="24">
        <v>0</v>
      </c>
      <c r="H30" s="25"/>
      <c r="I30" s="25"/>
      <c r="J30" s="26"/>
      <c r="K30" s="24">
        <v>0</v>
      </c>
      <c r="L30" s="25"/>
      <c r="M30" s="25"/>
      <c r="N30" s="26"/>
      <c r="O30" s="24">
        <v>0</v>
      </c>
      <c r="P30" s="25"/>
      <c r="Q30" s="25"/>
      <c r="R30" s="26"/>
    </row>
    <row r="31" spans="1:18">
      <c r="A31" s="13">
        <v>29</v>
      </c>
      <c r="B31" s="14" t="s">
        <v>61</v>
      </c>
      <c r="C31" s="14" t="s">
        <v>62</v>
      </c>
      <c r="D31" s="24">
        <v>13.5</v>
      </c>
      <c r="E31" s="25"/>
      <c r="F31" s="26"/>
      <c r="G31" s="24">
        <v>7</v>
      </c>
      <c r="H31" s="25"/>
      <c r="I31" s="25"/>
      <c r="J31" s="26"/>
      <c r="K31" s="24">
        <v>12</v>
      </c>
      <c r="L31" s="25"/>
      <c r="M31" s="25"/>
      <c r="N31" s="26"/>
      <c r="O31" s="24">
        <v>7.125</v>
      </c>
      <c r="P31" s="25"/>
      <c r="Q31" s="25"/>
      <c r="R31" s="26"/>
    </row>
    <row r="32" spans="1:18">
      <c r="A32" s="13">
        <v>30</v>
      </c>
      <c r="B32" s="14" t="s">
        <v>63</v>
      </c>
      <c r="C32" s="14" t="s">
        <v>64</v>
      </c>
      <c r="D32" s="24">
        <v>12</v>
      </c>
      <c r="E32" s="25"/>
      <c r="F32" s="26"/>
      <c r="G32" s="24">
        <v>3</v>
      </c>
      <c r="H32" s="25"/>
      <c r="I32" s="25"/>
      <c r="J32" s="26"/>
      <c r="K32" s="24">
        <v>13</v>
      </c>
      <c r="L32" s="25"/>
      <c r="M32" s="25"/>
      <c r="N32" s="26"/>
      <c r="O32" s="24">
        <v>8.25</v>
      </c>
      <c r="P32" s="25"/>
      <c r="Q32" s="25"/>
      <c r="R32" s="26"/>
    </row>
    <row r="33" spans="1:18">
      <c r="A33" s="13">
        <v>31</v>
      </c>
      <c r="B33" s="14" t="s">
        <v>65</v>
      </c>
      <c r="C33" s="14" t="s">
        <v>66</v>
      </c>
      <c r="D33" s="24">
        <v>11.5</v>
      </c>
      <c r="E33" s="25"/>
      <c r="F33" s="26"/>
      <c r="G33" s="24">
        <v>7</v>
      </c>
      <c r="H33" s="25"/>
      <c r="I33" s="25"/>
      <c r="J33" s="26"/>
      <c r="K33" s="24">
        <v>13</v>
      </c>
      <c r="L33" s="25"/>
      <c r="M33" s="25"/>
      <c r="N33" s="26"/>
      <c r="O33" s="24">
        <v>3.75</v>
      </c>
      <c r="P33" s="25"/>
      <c r="Q33" s="25"/>
      <c r="R33" s="26"/>
    </row>
    <row r="34" spans="1:18">
      <c r="A34" s="13">
        <v>32</v>
      </c>
      <c r="B34" s="14" t="s">
        <v>67</v>
      </c>
      <c r="C34" s="14" t="s">
        <v>68</v>
      </c>
      <c r="D34" s="24">
        <v>13.5</v>
      </c>
      <c r="E34" s="25"/>
      <c r="F34" s="26"/>
      <c r="G34" s="24">
        <v>13</v>
      </c>
      <c r="H34" s="25"/>
      <c r="I34" s="25"/>
      <c r="J34" s="26"/>
      <c r="K34" s="24">
        <v>13</v>
      </c>
      <c r="L34" s="25"/>
      <c r="M34" s="25"/>
      <c r="N34" s="26"/>
      <c r="O34" s="24">
        <v>5.25</v>
      </c>
      <c r="P34" s="25"/>
      <c r="Q34" s="25"/>
      <c r="R34" s="26"/>
    </row>
    <row r="35" spans="1:18">
      <c r="A35" s="13">
        <v>33</v>
      </c>
      <c r="B35" s="14" t="s">
        <v>69</v>
      </c>
      <c r="C35" s="14" t="s">
        <v>70</v>
      </c>
      <c r="D35" s="24">
        <v>13</v>
      </c>
      <c r="E35" s="25"/>
      <c r="F35" s="26"/>
      <c r="G35" s="24">
        <v>14</v>
      </c>
      <c r="H35" s="25"/>
      <c r="I35" s="25"/>
      <c r="J35" s="26"/>
      <c r="K35" s="24">
        <v>14.5</v>
      </c>
      <c r="L35" s="25"/>
      <c r="M35" s="25"/>
      <c r="N35" s="26"/>
      <c r="O35" s="24">
        <v>11.625</v>
      </c>
      <c r="P35" s="25"/>
      <c r="Q35" s="25"/>
      <c r="R35" s="26"/>
    </row>
    <row r="36" spans="1:18">
      <c r="A36" s="13">
        <v>34</v>
      </c>
      <c r="B36" s="14" t="s">
        <v>71</v>
      </c>
      <c r="C36" s="14" t="s">
        <v>72</v>
      </c>
      <c r="D36" s="24">
        <v>13.5</v>
      </c>
      <c r="E36" s="25"/>
      <c r="F36" s="26"/>
      <c r="G36" s="24">
        <v>12</v>
      </c>
      <c r="H36" s="25"/>
      <c r="I36" s="25"/>
      <c r="J36" s="26"/>
      <c r="K36" s="24">
        <v>15</v>
      </c>
      <c r="L36" s="25"/>
      <c r="M36" s="25"/>
      <c r="N36" s="26"/>
      <c r="O36" s="24">
        <v>12.75</v>
      </c>
      <c r="P36" s="25"/>
      <c r="Q36" s="25"/>
      <c r="R36" s="26"/>
    </row>
    <row r="37" spans="1:18">
      <c r="A37" s="13">
        <v>35</v>
      </c>
      <c r="B37" s="14" t="s">
        <v>73</v>
      </c>
      <c r="C37" s="14" t="s">
        <v>74</v>
      </c>
      <c r="D37" s="24">
        <v>13</v>
      </c>
      <c r="E37" s="25"/>
      <c r="F37" s="26"/>
      <c r="G37" s="24">
        <v>10</v>
      </c>
      <c r="H37" s="25"/>
      <c r="I37" s="25"/>
      <c r="J37" s="26"/>
      <c r="K37" s="24">
        <v>13</v>
      </c>
      <c r="L37" s="25"/>
      <c r="M37" s="25"/>
      <c r="N37" s="26"/>
      <c r="O37" s="24">
        <v>9</v>
      </c>
      <c r="P37" s="25"/>
      <c r="Q37" s="25"/>
      <c r="R37" s="26"/>
    </row>
  </sheetData>
  <mergeCells count="144">
    <mergeCell ref="D35:F35"/>
    <mergeCell ref="G35:J35"/>
    <mergeCell ref="K35:N35"/>
    <mergeCell ref="O35:R35"/>
    <mergeCell ref="D36:F36"/>
    <mergeCell ref="G36:J36"/>
    <mergeCell ref="K36:N36"/>
    <mergeCell ref="O36:R36"/>
    <mergeCell ref="D37:F37"/>
    <mergeCell ref="G37:J37"/>
    <mergeCell ref="K37:N37"/>
    <mergeCell ref="O37:R37"/>
    <mergeCell ref="D32:F32"/>
    <mergeCell ref="G32:J32"/>
    <mergeCell ref="K32:N32"/>
    <mergeCell ref="O32:R32"/>
    <mergeCell ref="D33:F33"/>
    <mergeCell ref="G33:J33"/>
    <mergeCell ref="K33:N33"/>
    <mergeCell ref="O33:R33"/>
    <mergeCell ref="D34:F34"/>
    <mergeCell ref="G34:J34"/>
    <mergeCell ref="K34:N34"/>
    <mergeCell ref="O34:R34"/>
    <mergeCell ref="D1:F1"/>
    <mergeCell ref="G1:J1"/>
    <mergeCell ref="K1:N1"/>
    <mergeCell ref="O1:R1"/>
    <mergeCell ref="D3:F3"/>
    <mergeCell ref="G3:J3"/>
    <mergeCell ref="K3:N3"/>
    <mergeCell ref="O3:R3"/>
    <mergeCell ref="D4:F4"/>
    <mergeCell ref="G4:J4"/>
    <mergeCell ref="K4:N4"/>
    <mergeCell ref="O4:R4"/>
    <mergeCell ref="D5:F5"/>
    <mergeCell ref="G5:J5"/>
    <mergeCell ref="K5:N5"/>
    <mergeCell ref="O5:R5"/>
    <mergeCell ref="D6:F6"/>
    <mergeCell ref="G6:J6"/>
    <mergeCell ref="K6:N6"/>
    <mergeCell ref="O6:R6"/>
    <mergeCell ref="D7:F7"/>
    <mergeCell ref="G7:J7"/>
    <mergeCell ref="K7:N7"/>
    <mergeCell ref="O7:R7"/>
    <mergeCell ref="D8:F8"/>
    <mergeCell ref="G8:J8"/>
    <mergeCell ref="K8:N8"/>
    <mergeCell ref="O8:R8"/>
    <mergeCell ref="D9:F9"/>
    <mergeCell ref="G9:J9"/>
    <mergeCell ref="K9:N9"/>
    <mergeCell ref="O9:R9"/>
    <mergeCell ref="D10:F10"/>
    <mergeCell ref="G10:J10"/>
    <mergeCell ref="K10:N10"/>
    <mergeCell ref="O10:R10"/>
    <mergeCell ref="D11:F11"/>
    <mergeCell ref="G11:J11"/>
    <mergeCell ref="K11:N11"/>
    <mergeCell ref="O11:R11"/>
    <mergeCell ref="D12:F12"/>
    <mergeCell ref="G12:J12"/>
    <mergeCell ref="K12:N12"/>
    <mergeCell ref="O12:R12"/>
    <mergeCell ref="D13:F13"/>
    <mergeCell ref="G13:J13"/>
    <mergeCell ref="K13:N13"/>
    <mergeCell ref="O13:R13"/>
    <mergeCell ref="D14:F14"/>
    <mergeCell ref="G14:J14"/>
    <mergeCell ref="K14:N14"/>
    <mergeCell ref="O14:R14"/>
    <mergeCell ref="D15:F15"/>
    <mergeCell ref="G15:J15"/>
    <mergeCell ref="K15:N15"/>
    <mergeCell ref="O15:R15"/>
    <mergeCell ref="D16:F16"/>
    <mergeCell ref="G16:J16"/>
    <mergeCell ref="K16:N16"/>
    <mergeCell ref="O16:R16"/>
    <mergeCell ref="D17:F17"/>
    <mergeCell ref="G17:J17"/>
    <mergeCell ref="K17:N17"/>
    <mergeCell ref="O17:R17"/>
    <mergeCell ref="D18:F18"/>
    <mergeCell ref="G18:J18"/>
    <mergeCell ref="K18:N18"/>
    <mergeCell ref="O18:R18"/>
    <mergeCell ref="D19:F19"/>
    <mergeCell ref="G19:J19"/>
    <mergeCell ref="K19:N19"/>
    <mergeCell ref="O19:R19"/>
    <mergeCell ref="D20:F20"/>
    <mergeCell ref="G20:J20"/>
    <mergeCell ref="K20:N20"/>
    <mergeCell ref="O20:R20"/>
    <mergeCell ref="D21:F21"/>
    <mergeCell ref="G21:J21"/>
    <mergeCell ref="K21:N21"/>
    <mergeCell ref="O21:R21"/>
    <mergeCell ref="D22:F22"/>
    <mergeCell ref="G22:J22"/>
    <mergeCell ref="K22:N22"/>
    <mergeCell ref="O22:R22"/>
    <mergeCell ref="D23:F23"/>
    <mergeCell ref="G23:J23"/>
    <mergeCell ref="K23:N23"/>
    <mergeCell ref="O23:R23"/>
    <mergeCell ref="D24:F24"/>
    <mergeCell ref="G24:J24"/>
    <mergeCell ref="K24:N24"/>
    <mergeCell ref="O24:R24"/>
    <mergeCell ref="D25:F25"/>
    <mergeCell ref="G25:J25"/>
    <mergeCell ref="K25:N25"/>
    <mergeCell ref="O25:R25"/>
    <mergeCell ref="D26:F26"/>
    <mergeCell ref="G26:J26"/>
    <mergeCell ref="K26:N26"/>
    <mergeCell ref="O26:R26"/>
    <mergeCell ref="D27:F27"/>
    <mergeCell ref="G27:J27"/>
    <mergeCell ref="K27:N27"/>
    <mergeCell ref="O27:R27"/>
    <mergeCell ref="D28:F28"/>
    <mergeCell ref="G28:J28"/>
    <mergeCell ref="K28:N28"/>
    <mergeCell ref="O28:R28"/>
    <mergeCell ref="D29:F29"/>
    <mergeCell ref="G29:J29"/>
    <mergeCell ref="K29:N29"/>
    <mergeCell ref="O29:R29"/>
    <mergeCell ref="D30:F30"/>
    <mergeCell ref="G30:J30"/>
    <mergeCell ref="K30:N30"/>
    <mergeCell ref="O30:R30"/>
    <mergeCell ref="D31:F31"/>
    <mergeCell ref="G31:J31"/>
    <mergeCell ref="K31:N31"/>
    <mergeCell ref="O31:R3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52C5-1B21-4C7E-8317-84F043EDFE59}">
  <sheetPr codeName="Sheet2"/>
  <dimension ref="A1:AF72"/>
  <sheetViews>
    <sheetView topLeftCell="A6" zoomScale="88" zoomScaleNormal="85" workbookViewId="0">
      <selection activeCell="F2" sqref="F2:F36"/>
    </sheetView>
  </sheetViews>
  <sheetFormatPr defaultRowHeight="16.2"/>
  <cols>
    <col min="2" max="2" width="10" bestFit="1" customWidth="1"/>
    <col min="3" max="3" width="28.59765625" bestFit="1" customWidth="1"/>
    <col min="4" max="4" width="10.8984375" style="6" customWidth="1"/>
    <col min="5" max="5" width="14.3984375" customWidth="1"/>
    <col min="6" max="6" width="10.8984375" style="6" customWidth="1"/>
    <col min="7" max="7" width="14.09765625" bestFit="1" customWidth="1"/>
    <col min="8" max="8" width="8.796875" style="6"/>
    <col min="9" max="9" width="15.09765625" customWidth="1"/>
    <col min="10" max="10" width="8.796875" style="6"/>
    <col min="11" max="12" width="14.296875" customWidth="1"/>
    <col min="13" max="13" width="4.5" bestFit="1" customWidth="1"/>
    <col min="14" max="14" width="14" bestFit="1" customWidth="1"/>
    <col min="15" max="15" width="21.5" bestFit="1" customWidth="1"/>
    <col min="16" max="16" width="22.8984375" bestFit="1" customWidth="1"/>
    <col min="17" max="17" width="22.5" bestFit="1" customWidth="1"/>
    <col min="18" max="18" width="33.5" bestFit="1" customWidth="1"/>
    <col min="19" max="19" width="35.296875" bestFit="1" customWidth="1"/>
    <col min="20" max="20" width="12.796875" customWidth="1"/>
    <col min="21" max="21" width="14" bestFit="1" customWidth="1"/>
    <col min="22" max="22" width="10.8984375" bestFit="1" customWidth="1"/>
    <col min="23" max="23" width="6.8984375" bestFit="1" customWidth="1"/>
    <col min="24" max="24" width="10.8984375" bestFit="1" customWidth="1"/>
    <col min="25" max="25" width="4" bestFit="1" customWidth="1"/>
    <col min="26" max="26" width="10.69921875" bestFit="1" customWidth="1"/>
    <col min="27" max="27" width="11.19921875" bestFit="1" customWidth="1"/>
    <col min="28" max="28" width="7.09765625" bestFit="1" customWidth="1"/>
    <col min="29" max="29" width="11.19921875" bestFit="1" customWidth="1"/>
    <col min="30" max="30" width="7.09765625" bestFit="1" customWidth="1"/>
    <col min="35" max="35" width="10.296875" bestFit="1" customWidth="1"/>
    <col min="36" max="36" width="31.296875" bestFit="1" customWidth="1"/>
  </cols>
  <sheetData>
    <row r="1" spans="1:32" ht="46.8">
      <c r="A1" s="4" t="s">
        <v>0</v>
      </c>
      <c r="B1" s="4" t="s">
        <v>1</v>
      </c>
      <c r="C1" s="4" t="s">
        <v>75</v>
      </c>
      <c r="D1" s="5" t="s">
        <v>78</v>
      </c>
      <c r="E1" s="7" t="s">
        <v>77</v>
      </c>
      <c r="F1" s="5" t="s">
        <v>115</v>
      </c>
      <c r="G1" s="7" t="s">
        <v>76</v>
      </c>
      <c r="H1" s="5" t="s">
        <v>79</v>
      </c>
      <c r="I1" s="7" t="s">
        <v>81</v>
      </c>
      <c r="J1" s="5" t="s">
        <v>114</v>
      </c>
      <c r="K1" s="7" t="s">
        <v>80</v>
      </c>
      <c r="L1" s="17"/>
    </row>
    <row r="2" spans="1:32">
      <c r="A2" s="13">
        <v>1</v>
      </c>
      <c r="B2" s="14" t="s">
        <v>17</v>
      </c>
      <c r="C2" s="14" t="s">
        <v>18</v>
      </c>
      <c r="D2" s="15">
        <v>25</v>
      </c>
      <c r="E2" s="8">
        <f t="shared" ref="E2:E36" si="0">(D2/30)*15</f>
        <v>12.5</v>
      </c>
      <c r="F2" s="15">
        <v>15</v>
      </c>
      <c r="G2" s="8">
        <f>F2</f>
        <v>15</v>
      </c>
      <c r="H2" s="15">
        <v>23</v>
      </c>
      <c r="I2" s="8">
        <f>(H2/30)*15</f>
        <v>11.5</v>
      </c>
      <c r="J2" s="15">
        <v>19</v>
      </c>
      <c r="K2" s="8">
        <f>(J2/40)*15</f>
        <v>7.125</v>
      </c>
      <c r="L2" s="9"/>
      <c r="V2" s="16"/>
      <c r="AD2" s="16"/>
      <c r="AF2" s="16"/>
    </row>
    <row r="3" spans="1:32">
      <c r="A3" s="13">
        <v>2</v>
      </c>
      <c r="B3" s="14" t="s">
        <v>19</v>
      </c>
      <c r="C3" s="14" t="s">
        <v>20</v>
      </c>
      <c r="D3" s="15">
        <v>23</v>
      </c>
      <c r="E3" s="8">
        <f t="shared" si="0"/>
        <v>11.5</v>
      </c>
      <c r="F3" s="15">
        <v>11</v>
      </c>
      <c r="G3" s="8">
        <f t="shared" ref="G3:G36" si="1">F3</f>
        <v>11</v>
      </c>
      <c r="H3" s="15">
        <v>27</v>
      </c>
      <c r="I3" s="8">
        <f t="shared" ref="I3:I30" si="2">(H3/30)*15</f>
        <v>13.5</v>
      </c>
      <c r="J3" s="15">
        <v>11</v>
      </c>
      <c r="K3" s="8">
        <f t="shared" ref="K3:K36" si="3">(J3/40)*15</f>
        <v>4.125</v>
      </c>
      <c r="L3" s="9"/>
      <c r="V3" s="16"/>
      <c r="X3" s="18"/>
      <c r="Y3" s="19"/>
      <c r="Z3" s="19"/>
      <c r="AD3" s="16"/>
      <c r="AF3" s="16"/>
    </row>
    <row r="4" spans="1:32">
      <c r="A4" s="13">
        <v>3</v>
      </c>
      <c r="B4" s="14" t="s">
        <v>102</v>
      </c>
      <c r="C4" s="14" t="s">
        <v>103</v>
      </c>
      <c r="D4" s="15"/>
      <c r="E4" s="8">
        <f t="shared" si="0"/>
        <v>0</v>
      </c>
      <c r="F4" s="15"/>
      <c r="G4" s="8">
        <f t="shared" si="1"/>
        <v>0</v>
      </c>
      <c r="H4" s="15"/>
      <c r="I4" s="8">
        <f t="shared" si="2"/>
        <v>0</v>
      </c>
      <c r="J4" s="15"/>
      <c r="K4" s="8">
        <f t="shared" si="3"/>
        <v>0</v>
      </c>
      <c r="L4" s="9"/>
      <c r="V4" s="16"/>
      <c r="X4" s="18"/>
      <c r="Y4" s="19"/>
      <c r="Z4" s="19"/>
      <c r="AD4" s="16"/>
      <c r="AF4" s="16"/>
    </row>
    <row r="5" spans="1:32">
      <c r="A5" s="13">
        <v>4</v>
      </c>
      <c r="B5" s="14" t="s">
        <v>21</v>
      </c>
      <c r="C5" s="14" t="s">
        <v>22</v>
      </c>
      <c r="D5" s="15">
        <v>27</v>
      </c>
      <c r="E5" s="8">
        <f t="shared" si="0"/>
        <v>13.5</v>
      </c>
      <c r="F5" s="15">
        <v>9</v>
      </c>
      <c r="G5" s="8">
        <f t="shared" si="1"/>
        <v>9</v>
      </c>
      <c r="H5" s="15">
        <v>26</v>
      </c>
      <c r="I5" s="8">
        <f t="shared" si="2"/>
        <v>13</v>
      </c>
      <c r="J5" s="15">
        <v>10</v>
      </c>
      <c r="K5" s="8">
        <f t="shared" si="3"/>
        <v>3.75</v>
      </c>
      <c r="L5" s="9"/>
      <c r="V5" s="16"/>
      <c r="X5" s="18"/>
      <c r="Y5" s="19"/>
      <c r="Z5" s="19"/>
      <c r="AD5" s="16"/>
      <c r="AF5" s="16"/>
    </row>
    <row r="6" spans="1:32">
      <c r="A6" s="13">
        <v>5</v>
      </c>
      <c r="B6" s="14" t="s">
        <v>23</v>
      </c>
      <c r="C6" s="14" t="s">
        <v>24</v>
      </c>
      <c r="D6" s="15">
        <v>26</v>
      </c>
      <c r="E6" s="8">
        <f t="shared" si="0"/>
        <v>13</v>
      </c>
      <c r="F6" s="15">
        <v>7</v>
      </c>
      <c r="G6" s="8">
        <f t="shared" si="1"/>
        <v>7</v>
      </c>
      <c r="H6" s="15">
        <v>22</v>
      </c>
      <c r="I6" s="8">
        <f t="shared" si="2"/>
        <v>11</v>
      </c>
      <c r="J6" s="15">
        <v>11</v>
      </c>
      <c r="K6" s="8">
        <f t="shared" si="3"/>
        <v>4.125</v>
      </c>
      <c r="L6" s="9"/>
      <c r="V6" s="16"/>
      <c r="X6" s="18"/>
      <c r="Y6" s="19"/>
      <c r="Z6" s="19"/>
      <c r="AD6" s="16"/>
      <c r="AF6" s="16"/>
    </row>
    <row r="7" spans="1:32">
      <c r="A7" s="13">
        <v>6</v>
      </c>
      <c r="B7" s="14" t="s">
        <v>25</v>
      </c>
      <c r="C7" s="14" t="s">
        <v>26</v>
      </c>
      <c r="D7" s="15">
        <v>26</v>
      </c>
      <c r="E7" s="8">
        <f t="shared" si="0"/>
        <v>13</v>
      </c>
      <c r="F7" s="15">
        <v>6</v>
      </c>
      <c r="G7" s="8">
        <f t="shared" si="1"/>
        <v>6</v>
      </c>
      <c r="H7" s="15">
        <v>24</v>
      </c>
      <c r="I7" s="8">
        <f t="shared" si="2"/>
        <v>12</v>
      </c>
      <c r="J7" s="15">
        <v>12</v>
      </c>
      <c r="K7" s="8">
        <f t="shared" si="3"/>
        <v>4.5</v>
      </c>
      <c r="L7" s="9"/>
      <c r="V7" s="16"/>
      <c r="X7" s="18"/>
      <c r="Y7" s="19"/>
      <c r="Z7" s="19"/>
      <c r="AD7" s="16"/>
      <c r="AF7" s="16"/>
    </row>
    <row r="8" spans="1:32">
      <c r="A8" s="13">
        <v>7</v>
      </c>
      <c r="B8" s="14" t="s">
        <v>104</v>
      </c>
      <c r="C8" s="14" t="s">
        <v>105</v>
      </c>
      <c r="D8" s="15"/>
      <c r="E8" s="8">
        <f t="shared" si="0"/>
        <v>0</v>
      </c>
      <c r="F8" s="15"/>
      <c r="G8" s="8">
        <f t="shared" si="1"/>
        <v>0</v>
      </c>
      <c r="H8" s="15"/>
      <c r="I8" s="8">
        <f t="shared" si="2"/>
        <v>0</v>
      </c>
      <c r="J8" s="15"/>
      <c r="K8" s="8">
        <f t="shared" si="3"/>
        <v>0</v>
      </c>
      <c r="L8" s="9"/>
      <c r="V8" s="16"/>
      <c r="X8" s="18"/>
      <c r="Y8" s="19"/>
      <c r="Z8" s="19"/>
      <c r="AD8" s="16"/>
      <c r="AF8" s="16"/>
    </row>
    <row r="9" spans="1:32">
      <c r="A9" s="13">
        <v>8</v>
      </c>
      <c r="B9" s="14" t="s">
        <v>27</v>
      </c>
      <c r="C9" s="14" t="s">
        <v>28</v>
      </c>
      <c r="D9" s="15">
        <v>25</v>
      </c>
      <c r="E9" s="8">
        <f t="shared" si="0"/>
        <v>12.5</v>
      </c>
      <c r="F9" s="15">
        <v>12</v>
      </c>
      <c r="G9" s="8">
        <f t="shared" si="1"/>
        <v>12</v>
      </c>
      <c r="H9" s="15">
        <v>27</v>
      </c>
      <c r="I9" s="8">
        <f t="shared" si="2"/>
        <v>13.5</v>
      </c>
      <c r="J9" s="15">
        <v>11</v>
      </c>
      <c r="K9" s="8">
        <f t="shared" si="3"/>
        <v>4.125</v>
      </c>
      <c r="L9" s="9"/>
      <c r="V9" s="16"/>
      <c r="X9" s="18"/>
      <c r="Y9" s="19"/>
      <c r="Z9" s="19"/>
      <c r="AD9" s="16"/>
      <c r="AF9" s="16"/>
    </row>
    <row r="10" spans="1:32">
      <c r="A10" s="13">
        <v>9</v>
      </c>
      <c r="B10" s="14" t="s">
        <v>29</v>
      </c>
      <c r="C10" s="14" t="s">
        <v>30</v>
      </c>
      <c r="D10" s="15">
        <v>25</v>
      </c>
      <c r="E10" s="8">
        <f t="shared" si="0"/>
        <v>12.5</v>
      </c>
      <c r="F10" s="15">
        <v>6</v>
      </c>
      <c r="G10" s="8">
        <f t="shared" si="1"/>
        <v>6</v>
      </c>
      <c r="H10" s="15">
        <v>26</v>
      </c>
      <c r="I10" s="8">
        <f t="shared" si="2"/>
        <v>13</v>
      </c>
      <c r="J10" s="15">
        <v>30</v>
      </c>
      <c r="K10" s="8">
        <f t="shared" si="3"/>
        <v>11.25</v>
      </c>
      <c r="L10" s="9"/>
      <c r="V10" s="16"/>
      <c r="X10" s="18"/>
      <c r="Y10" s="19"/>
      <c r="Z10" s="19"/>
      <c r="AD10" s="16"/>
      <c r="AF10" s="16"/>
    </row>
    <row r="11" spans="1:32">
      <c r="A11" s="13">
        <v>10</v>
      </c>
      <c r="B11" s="14" t="s">
        <v>31</v>
      </c>
      <c r="C11" s="14" t="s">
        <v>32</v>
      </c>
      <c r="D11" s="15">
        <v>24</v>
      </c>
      <c r="E11" s="8">
        <f t="shared" si="0"/>
        <v>12</v>
      </c>
      <c r="F11" s="15">
        <v>8</v>
      </c>
      <c r="G11" s="8">
        <f t="shared" si="1"/>
        <v>8</v>
      </c>
      <c r="H11" s="15">
        <v>26</v>
      </c>
      <c r="I11" s="8">
        <f t="shared" si="2"/>
        <v>13</v>
      </c>
      <c r="J11" s="15">
        <v>29</v>
      </c>
      <c r="K11" s="8">
        <f t="shared" si="3"/>
        <v>10.875</v>
      </c>
      <c r="L11" s="9"/>
      <c r="V11" s="16"/>
      <c r="X11" s="18"/>
      <c r="Y11" s="19"/>
      <c r="Z11" s="19"/>
      <c r="AD11" s="16"/>
      <c r="AF11" s="16"/>
    </row>
    <row r="12" spans="1:32">
      <c r="A12" s="13">
        <v>11</v>
      </c>
      <c r="B12" s="14" t="s">
        <v>33</v>
      </c>
      <c r="C12" s="14" t="s">
        <v>34</v>
      </c>
      <c r="D12" s="15">
        <v>25</v>
      </c>
      <c r="E12" s="8">
        <f t="shared" si="0"/>
        <v>12.5</v>
      </c>
      <c r="F12" s="15">
        <v>12</v>
      </c>
      <c r="G12" s="8">
        <f t="shared" si="1"/>
        <v>12</v>
      </c>
      <c r="H12" s="15">
        <v>25</v>
      </c>
      <c r="I12" s="8">
        <f t="shared" si="2"/>
        <v>12.5</v>
      </c>
      <c r="J12" s="15">
        <v>12</v>
      </c>
      <c r="K12" s="8">
        <f t="shared" si="3"/>
        <v>4.5</v>
      </c>
      <c r="L12" s="9"/>
      <c r="V12" s="16"/>
      <c r="X12" s="18"/>
      <c r="Y12" s="19"/>
      <c r="Z12" s="19"/>
      <c r="AD12" s="16"/>
      <c r="AF12" s="16"/>
    </row>
    <row r="13" spans="1:32">
      <c r="A13" s="13">
        <v>12</v>
      </c>
      <c r="B13" s="14" t="s">
        <v>35</v>
      </c>
      <c r="C13" s="14" t="s">
        <v>36</v>
      </c>
      <c r="D13" s="15">
        <v>24</v>
      </c>
      <c r="E13" s="8">
        <f t="shared" si="0"/>
        <v>12</v>
      </c>
      <c r="F13" s="15">
        <v>13</v>
      </c>
      <c r="G13" s="8">
        <f t="shared" si="1"/>
        <v>13</v>
      </c>
      <c r="H13" s="15">
        <v>22</v>
      </c>
      <c r="I13" s="8">
        <f t="shared" si="2"/>
        <v>11</v>
      </c>
      <c r="J13" s="15">
        <v>18</v>
      </c>
      <c r="K13" s="8">
        <f t="shared" si="3"/>
        <v>6.75</v>
      </c>
      <c r="L13" s="9"/>
      <c r="V13" s="16"/>
      <c r="X13" s="18"/>
      <c r="Y13" s="19"/>
      <c r="Z13" s="19"/>
      <c r="AD13" s="16"/>
      <c r="AF13" s="16"/>
    </row>
    <row r="14" spans="1:32">
      <c r="A14" s="13">
        <v>13</v>
      </c>
      <c r="B14" s="14" t="s">
        <v>37</v>
      </c>
      <c r="C14" s="14" t="s">
        <v>38</v>
      </c>
      <c r="D14" s="15">
        <v>27</v>
      </c>
      <c r="E14" s="8">
        <f t="shared" si="0"/>
        <v>13.5</v>
      </c>
      <c r="F14" s="15">
        <v>13</v>
      </c>
      <c r="G14" s="8">
        <f t="shared" si="1"/>
        <v>13</v>
      </c>
      <c r="H14" s="15">
        <v>28</v>
      </c>
      <c r="I14" s="8">
        <f t="shared" si="2"/>
        <v>14</v>
      </c>
      <c r="J14" s="15">
        <v>29</v>
      </c>
      <c r="K14" s="8">
        <f t="shared" si="3"/>
        <v>10.875</v>
      </c>
      <c r="L14" s="9"/>
      <c r="V14" s="16"/>
      <c r="X14" s="18"/>
      <c r="Y14" s="19"/>
      <c r="Z14" s="19"/>
      <c r="AD14" s="16"/>
      <c r="AF14" s="16"/>
    </row>
    <row r="15" spans="1:32">
      <c r="A15" s="13">
        <v>14</v>
      </c>
      <c r="B15" s="14" t="s">
        <v>39</v>
      </c>
      <c r="C15" s="14" t="s">
        <v>40</v>
      </c>
      <c r="D15" s="15">
        <v>25</v>
      </c>
      <c r="E15" s="8">
        <f t="shared" si="0"/>
        <v>12.5</v>
      </c>
      <c r="F15" s="15">
        <v>9</v>
      </c>
      <c r="G15" s="8">
        <f t="shared" si="1"/>
        <v>9</v>
      </c>
      <c r="H15" s="15">
        <v>25</v>
      </c>
      <c r="I15" s="8">
        <f t="shared" si="2"/>
        <v>12.5</v>
      </c>
      <c r="J15" s="15">
        <v>0</v>
      </c>
      <c r="K15" s="8">
        <f t="shared" si="3"/>
        <v>0</v>
      </c>
      <c r="L15" s="9"/>
      <c r="V15" s="16"/>
      <c r="X15" s="18"/>
      <c r="Y15" s="19"/>
      <c r="Z15" s="19"/>
      <c r="AD15" s="16"/>
      <c r="AF15" s="16"/>
    </row>
    <row r="16" spans="1:32">
      <c r="A16" s="13">
        <v>15</v>
      </c>
      <c r="B16" s="14" t="s">
        <v>106</v>
      </c>
      <c r="C16" s="14" t="s">
        <v>107</v>
      </c>
      <c r="D16" s="15">
        <v>26</v>
      </c>
      <c r="E16" s="8">
        <f t="shared" si="0"/>
        <v>13</v>
      </c>
      <c r="F16" s="15">
        <v>9</v>
      </c>
      <c r="G16" s="8">
        <f t="shared" si="1"/>
        <v>9</v>
      </c>
      <c r="H16" s="15">
        <v>0</v>
      </c>
      <c r="I16" s="8">
        <f t="shared" si="2"/>
        <v>0</v>
      </c>
      <c r="J16" s="15">
        <v>0</v>
      </c>
      <c r="K16" s="8">
        <f t="shared" si="3"/>
        <v>0</v>
      </c>
      <c r="L16" s="9"/>
      <c r="V16" s="16"/>
      <c r="X16" s="18"/>
      <c r="Y16" s="19"/>
      <c r="Z16" s="19"/>
      <c r="AD16" s="16"/>
      <c r="AF16" s="16"/>
    </row>
    <row r="17" spans="1:32">
      <c r="A17" s="13">
        <v>16</v>
      </c>
      <c r="B17" s="14" t="s">
        <v>41</v>
      </c>
      <c r="C17" s="14" t="s">
        <v>42</v>
      </c>
      <c r="D17" s="15">
        <v>25</v>
      </c>
      <c r="E17" s="8">
        <f t="shared" si="0"/>
        <v>12.5</v>
      </c>
      <c r="F17" s="15">
        <v>9</v>
      </c>
      <c r="G17" s="8">
        <f t="shared" si="1"/>
        <v>9</v>
      </c>
      <c r="H17" s="15">
        <v>26</v>
      </c>
      <c r="I17" s="8">
        <f t="shared" si="2"/>
        <v>13</v>
      </c>
      <c r="J17" s="15">
        <v>20</v>
      </c>
      <c r="K17" s="8">
        <f t="shared" si="3"/>
        <v>7.5</v>
      </c>
      <c r="L17" s="9"/>
      <c r="V17" s="16"/>
      <c r="X17" s="18"/>
      <c r="Y17" s="19"/>
      <c r="Z17" s="19"/>
      <c r="AD17" s="16"/>
      <c r="AF17" s="16"/>
    </row>
    <row r="18" spans="1:32">
      <c r="A18" s="13">
        <v>17</v>
      </c>
      <c r="B18" s="14" t="s">
        <v>108</v>
      </c>
      <c r="C18" s="14" t="s">
        <v>109</v>
      </c>
      <c r="D18" s="15"/>
      <c r="E18" s="8">
        <f t="shared" si="0"/>
        <v>0</v>
      </c>
      <c r="F18" s="15"/>
      <c r="G18" s="8">
        <f t="shared" si="1"/>
        <v>0</v>
      </c>
      <c r="H18" s="15"/>
      <c r="I18" s="8">
        <f t="shared" si="2"/>
        <v>0</v>
      </c>
      <c r="J18" s="15"/>
      <c r="K18" s="8">
        <f t="shared" si="3"/>
        <v>0</v>
      </c>
      <c r="L18" s="9"/>
      <c r="V18" s="16"/>
      <c r="X18" s="18"/>
      <c r="Y18" s="19"/>
      <c r="Z18" s="19"/>
      <c r="AD18" s="16"/>
      <c r="AF18" s="16"/>
    </row>
    <row r="19" spans="1:32">
      <c r="A19" s="13">
        <v>18</v>
      </c>
      <c r="B19" s="14" t="s">
        <v>43</v>
      </c>
      <c r="C19" s="14" t="s">
        <v>44</v>
      </c>
      <c r="D19" s="15">
        <v>26</v>
      </c>
      <c r="E19" s="8">
        <f t="shared" si="0"/>
        <v>13</v>
      </c>
      <c r="F19" s="15">
        <v>9</v>
      </c>
      <c r="G19" s="8">
        <f t="shared" si="1"/>
        <v>9</v>
      </c>
      <c r="H19" s="15">
        <v>24</v>
      </c>
      <c r="I19" s="8">
        <f t="shared" si="2"/>
        <v>12</v>
      </c>
      <c r="J19" s="15">
        <v>9</v>
      </c>
      <c r="K19" s="8">
        <f t="shared" si="3"/>
        <v>3.375</v>
      </c>
      <c r="L19" s="9"/>
      <c r="V19" s="16"/>
      <c r="X19" s="18"/>
      <c r="Y19" s="19"/>
      <c r="Z19" s="19"/>
      <c r="AD19" s="16"/>
      <c r="AF19" s="16"/>
    </row>
    <row r="20" spans="1:32">
      <c r="A20" s="13">
        <v>19</v>
      </c>
      <c r="B20" s="14" t="s">
        <v>45</v>
      </c>
      <c r="C20" s="14" t="s">
        <v>46</v>
      </c>
      <c r="D20" s="15">
        <v>28</v>
      </c>
      <c r="E20" s="8">
        <f t="shared" si="0"/>
        <v>14</v>
      </c>
      <c r="F20" s="15">
        <v>12</v>
      </c>
      <c r="G20" s="8">
        <f t="shared" si="1"/>
        <v>12</v>
      </c>
      <c r="H20" s="15">
        <v>28</v>
      </c>
      <c r="I20" s="8">
        <f t="shared" si="2"/>
        <v>14</v>
      </c>
      <c r="J20" s="15">
        <v>38</v>
      </c>
      <c r="K20" s="8">
        <f t="shared" si="3"/>
        <v>14.25</v>
      </c>
      <c r="L20" s="9"/>
      <c r="V20" s="16"/>
      <c r="X20" s="18"/>
      <c r="Y20" s="19"/>
      <c r="Z20" s="19"/>
      <c r="AD20" s="16"/>
      <c r="AF20" s="16"/>
    </row>
    <row r="21" spans="1:32">
      <c r="A21" s="13">
        <v>20</v>
      </c>
      <c r="B21" s="14" t="s">
        <v>47</v>
      </c>
      <c r="C21" s="14" t="s">
        <v>48</v>
      </c>
      <c r="D21" s="15">
        <v>24</v>
      </c>
      <c r="E21" s="8">
        <f t="shared" si="0"/>
        <v>12</v>
      </c>
      <c r="F21" s="15">
        <v>11</v>
      </c>
      <c r="G21" s="8">
        <f t="shared" si="1"/>
        <v>11</v>
      </c>
      <c r="H21" s="15">
        <v>26</v>
      </c>
      <c r="I21" s="8">
        <f t="shared" si="2"/>
        <v>13</v>
      </c>
      <c r="J21" s="15">
        <v>18</v>
      </c>
      <c r="K21" s="8">
        <f t="shared" si="3"/>
        <v>6.75</v>
      </c>
      <c r="L21" s="9"/>
      <c r="V21" s="16"/>
      <c r="X21" s="18"/>
      <c r="Y21" s="19"/>
      <c r="Z21" s="19"/>
      <c r="AD21" s="16"/>
      <c r="AF21" s="16"/>
    </row>
    <row r="22" spans="1:32">
      <c r="A22" s="13">
        <v>21</v>
      </c>
      <c r="B22" s="14" t="s">
        <v>49</v>
      </c>
      <c r="C22" s="14" t="s">
        <v>50</v>
      </c>
      <c r="D22" s="15">
        <v>24</v>
      </c>
      <c r="E22" s="8">
        <f t="shared" si="0"/>
        <v>12</v>
      </c>
      <c r="F22" s="15">
        <v>7</v>
      </c>
      <c r="G22" s="8">
        <f t="shared" si="1"/>
        <v>7</v>
      </c>
      <c r="H22" s="15">
        <v>23</v>
      </c>
      <c r="I22" s="8">
        <f t="shared" si="2"/>
        <v>11.5</v>
      </c>
      <c r="J22" s="15">
        <v>13</v>
      </c>
      <c r="K22" s="8">
        <f t="shared" si="3"/>
        <v>4.875</v>
      </c>
      <c r="L22" s="9"/>
      <c r="V22" s="16"/>
      <c r="X22" s="18"/>
      <c r="Y22" s="19"/>
      <c r="Z22" s="19"/>
      <c r="AD22" s="16"/>
      <c r="AF22" s="16"/>
    </row>
    <row r="23" spans="1:32">
      <c r="A23" s="13">
        <v>22</v>
      </c>
      <c r="B23" s="14" t="s">
        <v>51</v>
      </c>
      <c r="C23" s="14" t="s">
        <v>52</v>
      </c>
      <c r="D23" s="15">
        <v>25</v>
      </c>
      <c r="E23" s="8">
        <f t="shared" si="0"/>
        <v>12.5</v>
      </c>
      <c r="F23" s="15">
        <v>14</v>
      </c>
      <c r="G23" s="8">
        <f t="shared" si="1"/>
        <v>14</v>
      </c>
      <c r="H23" s="15">
        <v>22</v>
      </c>
      <c r="I23" s="8">
        <f t="shared" si="2"/>
        <v>11</v>
      </c>
      <c r="J23" s="15">
        <v>11</v>
      </c>
      <c r="K23" s="8">
        <f t="shared" si="3"/>
        <v>4.125</v>
      </c>
      <c r="L23" s="9"/>
      <c r="V23" s="16"/>
      <c r="X23" s="18"/>
      <c r="Y23" s="19"/>
      <c r="Z23" s="19"/>
      <c r="AD23" s="16"/>
      <c r="AF23" s="16"/>
    </row>
    <row r="24" spans="1:32">
      <c r="A24" s="13">
        <v>23</v>
      </c>
      <c r="B24" s="14" t="s">
        <v>110</v>
      </c>
      <c r="C24" s="14" t="s">
        <v>111</v>
      </c>
      <c r="D24" s="15"/>
      <c r="E24" s="8">
        <f t="shared" si="0"/>
        <v>0</v>
      </c>
      <c r="F24" s="15"/>
      <c r="G24" s="8">
        <f t="shared" si="1"/>
        <v>0</v>
      </c>
      <c r="H24" s="15"/>
      <c r="I24" s="8">
        <f t="shared" si="2"/>
        <v>0</v>
      </c>
      <c r="J24" s="15"/>
      <c r="K24" s="8">
        <f t="shared" si="3"/>
        <v>0</v>
      </c>
      <c r="L24" s="9"/>
      <c r="V24" s="16"/>
      <c r="X24" s="18"/>
      <c r="Y24" s="19"/>
      <c r="Z24" s="19"/>
      <c r="AD24" s="16"/>
      <c r="AF24" s="16"/>
    </row>
    <row r="25" spans="1:32">
      <c r="A25" s="13">
        <v>24</v>
      </c>
      <c r="B25" s="14" t="s">
        <v>53</v>
      </c>
      <c r="C25" s="14" t="s">
        <v>54</v>
      </c>
      <c r="D25" s="15">
        <v>25</v>
      </c>
      <c r="E25" s="8">
        <f t="shared" si="0"/>
        <v>12.5</v>
      </c>
      <c r="F25" s="15">
        <v>6</v>
      </c>
      <c r="G25" s="8">
        <f t="shared" si="1"/>
        <v>6</v>
      </c>
      <c r="H25" s="15">
        <v>26</v>
      </c>
      <c r="I25" s="8">
        <f t="shared" si="2"/>
        <v>13</v>
      </c>
      <c r="J25" s="15">
        <v>12</v>
      </c>
      <c r="K25" s="8">
        <f t="shared" si="3"/>
        <v>4.5</v>
      </c>
      <c r="L25" s="9"/>
      <c r="V25" s="16"/>
      <c r="X25" s="18"/>
      <c r="Y25" s="19"/>
      <c r="Z25" s="19"/>
      <c r="AD25" s="16"/>
      <c r="AF25" s="16"/>
    </row>
    <row r="26" spans="1:32">
      <c r="A26" s="13">
        <v>25</v>
      </c>
      <c r="B26" s="14" t="s">
        <v>55</v>
      </c>
      <c r="C26" s="14" t="s">
        <v>56</v>
      </c>
      <c r="D26" s="15">
        <v>26</v>
      </c>
      <c r="E26" s="8">
        <f t="shared" si="0"/>
        <v>13</v>
      </c>
      <c r="F26" s="15">
        <v>11</v>
      </c>
      <c r="G26" s="8">
        <f t="shared" si="1"/>
        <v>11</v>
      </c>
      <c r="H26" s="15">
        <v>28</v>
      </c>
      <c r="I26" s="8">
        <f t="shared" si="2"/>
        <v>14</v>
      </c>
      <c r="J26" s="15">
        <v>31</v>
      </c>
      <c r="K26" s="8">
        <f t="shared" si="3"/>
        <v>11.625</v>
      </c>
      <c r="L26" s="9"/>
      <c r="V26" s="16"/>
      <c r="X26" s="18"/>
      <c r="Y26" s="19"/>
      <c r="Z26" s="19"/>
      <c r="AD26" s="16"/>
      <c r="AF26" s="16"/>
    </row>
    <row r="27" spans="1:32">
      <c r="A27" s="13">
        <v>26</v>
      </c>
      <c r="B27" s="14" t="s">
        <v>57</v>
      </c>
      <c r="C27" s="14" t="s">
        <v>58</v>
      </c>
      <c r="D27" s="15">
        <v>25</v>
      </c>
      <c r="E27" s="8">
        <f t="shared" si="0"/>
        <v>12.5</v>
      </c>
      <c r="F27" s="15">
        <v>11</v>
      </c>
      <c r="G27" s="8">
        <f t="shared" si="1"/>
        <v>11</v>
      </c>
      <c r="H27" s="15">
        <v>26</v>
      </c>
      <c r="I27" s="8">
        <f t="shared" si="2"/>
        <v>13</v>
      </c>
      <c r="J27" s="15">
        <v>29</v>
      </c>
      <c r="K27" s="8">
        <f t="shared" si="3"/>
        <v>10.875</v>
      </c>
      <c r="L27" s="9"/>
      <c r="V27" s="16"/>
      <c r="X27" s="18"/>
      <c r="Y27" s="19"/>
      <c r="Z27" s="19"/>
      <c r="AD27" s="16"/>
      <c r="AF27" s="16"/>
    </row>
    <row r="28" spans="1:32">
      <c r="A28" s="13">
        <v>27</v>
      </c>
      <c r="B28" s="14" t="s">
        <v>59</v>
      </c>
      <c r="C28" s="14" t="s">
        <v>60</v>
      </c>
      <c r="D28" s="15">
        <v>25</v>
      </c>
      <c r="E28" s="8">
        <f t="shared" si="0"/>
        <v>12.5</v>
      </c>
      <c r="F28" s="15">
        <v>9</v>
      </c>
      <c r="G28" s="8">
        <f t="shared" si="1"/>
        <v>9</v>
      </c>
      <c r="H28" s="15">
        <v>26</v>
      </c>
      <c r="I28" s="8">
        <f t="shared" si="2"/>
        <v>13</v>
      </c>
      <c r="J28" s="15">
        <v>19</v>
      </c>
      <c r="K28" s="8">
        <f t="shared" si="3"/>
        <v>7.125</v>
      </c>
      <c r="L28" s="9"/>
      <c r="V28" s="16"/>
      <c r="X28" s="18"/>
      <c r="Y28" s="19"/>
      <c r="Z28" s="19"/>
      <c r="AD28" s="16"/>
      <c r="AF28" s="16"/>
    </row>
    <row r="29" spans="1:32">
      <c r="A29" s="13">
        <v>28</v>
      </c>
      <c r="B29" s="14" t="s">
        <v>112</v>
      </c>
      <c r="C29" s="14" t="s">
        <v>113</v>
      </c>
      <c r="D29" s="15"/>
      <c r="E29" s="8">
        <f t="shared" si="0"/>
        <v>0</v>
      </c>
      <c r="F29" s="15"/>
      <c r="G29" s="8">
        <f t="shared" si="1"/>
        <v>0</v>
      </c>
      <c r="H29" s="15"/>
      <c r="I29" s="8">
        <f t="shared" si="2"/>
        <v>0</v>
      </c>
      <c r="J29" s="15"/>
      <c r="K29" s="8">
        <f t="shared" si="3"/>
        <v>0</v>
      </c>
      <c r="L29" s="9"/>
      <c r="V29" s="16"/>
      <c r="X29" s="18"/>
      <c r="Y29" s="19"/>
      <c r="Z29" s="19"/>
      <c r="AD29" s="16"/>
      <c r="AF29" s="16"/>
    </row>
    <row r="30" spans="1:32">
      <c r="A30" s="13">
        <v>29</v>
      </c>
      <c r="B30" s="14" t="s">
        <v>61</v>
      </c>
      <c r="C30" s="14" t="s">
        <v>62</v>
      </c>
      <c r="D30" s="15">
        <v>27</v>
      </c>
      <c r="E30" s="8">
        <f t="shared" si="0"/>
        <v>13.5</v>
      </c>
      <c r="F30" s="15">
        <v>7</v>
      </c>
      <c r="G30" s="8">
        <f t="shared" si="1"/>
        <v>7</v>
      </c>
      <c r="H30" s="15">
        <v>24</v>
      </c>
      <c r="I30" s="8">
        <f t="shared" si="2"/>
        <v>12</v>
      </c>
      <c r="J30" s="15">
        <v>19</v>
      </c>
      <c r="K30" s="8">
        <f t="shared" si="3"/>
        <v>7.125</v>
      </c>
      <c r="L30" s="9"/>
      <c r="V30" s="16"/>
      <c r="X30" s="18"/>
      <c r="Y30" s="19"/>
      <c r="Z30" s="19"/>
      <c r="AD30" s="16"/>
      <c r="AF30" s="16"/>
    </row>
    <row r="31" spans="1:32">
      <c r="A31" s="13">
        <v>30</v>
      </c>
      <c r="B31" s="14" t="s">
        <v>63</v>
      </c>
      <c r="C31" s="14" t="s">
        <v>64</v>
      </c>
      <c r="D31" s="15">
        <v>24</v>
      </c>
      <c r="E31" s="8">
        <f t="shared" si="0"/>
        <v>12</v>
      </c>
      <c r="F31" s="15">
        <v>3</v>
      </c>
      <c r="G31" s="8">
        <f t="shared" si="1"/>
        <v>3</v>
      </c>
      <c r="H31" s="15">
        <v>26</v>
      </c>
      <c r="I31" s="8">
        <f t="shared" ref="I31:I36" si="4">(H31/30)*15</f>
        <v>13</v>
      </c>
      <c r="J31" s="15">
        <v>22</v>
      </c>
      <c r="K31" s="8">
        <f t="shared" si="3"/>
        <v>8.25</v>
      </c>
      <c r="L31" s="9"/>
      <c r="V31" s="16"/>
      <c r="X31" s="18"/>
      <c r="Y31" s="19"/>
      <c r="Z31" s="19"/>
      <c r="AD31" s="16"/>
      <c r="AF31" s="16"/>
    </row>
    <row r="32" spans="1:32">
      <c r="A32" s="13">
        <v>31</v>
      </c>
      <c r="B32" s="14" t="s">
        <v>65</v>
      </c>
      <c r="C32" s="14" t="s">
        <v>66</v>
      </c>
      <c r="D32" s="15">
        <v>23</v>
      </c>
      <c r="E32" s="8">
        <f t="shared" si="0"/>
        <v>11.5</v>
      </c>
      <c r="F32" s="15">
        <v>7</v>
      </c>
      <c r="G32" s="8">
        <f t="shared" si="1"/>
        <v>7</v>
      </c>
      <c r="H32" s="15">
        <v>26</v>
      </c>
      <c r="I32" s="8">
        <f t="shared" si="4"/>
        <v>13</v>
      </c>
      <c r="J32" s="15">
        <v>10</v>
      </c>
      <c r="K32" s="8">
        <f t="shared" si="3"/>
        <v>3.75</v>
      </c>
      <c r="L32" s="9"/>
      <c r="V32" s="16"/>
      <c r="X32" s="18"/>
      <c r="Y32" s="19"/>
      <c r="Z32" s="19"/>
      <c r="AD32" s="16"/>
      <c r="AF32" s="16"/>
    </row>
    <row r="33" spans="1:32">
      <c r="A33" s="13">
        <v>32</v>
      </c>
      <c r="B33" s="14" t="s">
        <v>67</v>
      </c>
      <c r="C33" s="14" t="s">
        <v>68</v>
      </c>
      <c r="D33" s="15">
        <v>27</v>
      </c>
      <c r="E33" s="8">
        <f t="shared" si="0"/>
        <v>13.5</v>
      </c>
      <c r="F33" s="15">
        <v>13</v>
      </c>
      <c r="G33" s="8">
        <f t="shared" si="1"/>
        <v>13</v>
      </c>
      <c r="H33" s="15">
        <v>26</v>
      </c>
      <c r="I33" s="8">
        <f t="shared" si="4"/>
        <v>13</v>
      </c>
      <c r="J33" s="15">
        <v>14</v>
      </c>
      <c r="K33" s="8">
        <f t="shared" si="3"/>
        <v>5.25</v>
      </c>
      <c r="L33" s="9"/>
      <c r="V33" s="16"/>
      <c r="X33" s="18"/>
      <c r="Y33" s="19"/>
      <c r="Z33" s="19"/>
      <c r="AD33" s="16"/>
      <c r="AF33" s="16"/>
    </row>
    <row r="34" spans="1:32">
      <c r="A34" s="13">
        <v>33</v>
      </c>
      <c r="B34" s="14" t="s">
        <v>69</v>
      </c>
      <c r="C34" s="14" t="s">
        <v>70</v>
      </c>
      <c r="D34" s="15">
        <v>26</v>
      </c>
      <c r="E34" s="8">
        <f t="shared" si="0"/>
        <v>13</v>
      </c>
      <c r="F34" s="15">
        <v>14</v>
      </c>
      <c r="G34" s="8">
        <f t="shared" si="1"/>
        <v>14</v>
      </c>
      <c r="H34" s="15">
        <v>29</v>
      </c>
      <c r="I34" s="8">
        <f t="shared" si="4"/>
        <v>14.5</v>
      </c>
      <c r="J34" s="15">
        <v>31</v>
      </c>
      <c r="K34" s="8">
        <f t="shared" si="3"/>
        <v>11.625</v>
      </c>
      <c r="L34" s="9"/>
      <c r="V34" s="16"/>
      <c r="X34" s="18"/>
      <c r="Y34" s="19"/>
      <c r="Z34" s="19"/>
      <c r="AD34" s="16"/>
      <c r="AF34" s="16"/>
    </row>
    <row r="35" spans="1:32">
      <c r="A35" s="13">
        <v>34</v>
      </c>
      <c r="B35" s="14" t="s">
        <v>71</v>
      </c>
      <c r="C35" s="14" t="s">
        <v>72</v>
      </c>
      <c r="D35" s="15">
        <v>27</v>
      </c>
      <c r="E35" s="8">
        <f t="shared" si="0"/>
        <v>13.5</v>
      </c>
      <c r="F35" s="15">
        <v>12</v>
      </c>
      <c r="G35" s="8">
        <f t="shared" si="1"/>
        <v>12</v>
      </c>
      <c r="H35" s="15">
        <v>30</v>
      </c>
      <c r="I35" s="8">
        <f t="shared" si="4"/>
        <v>15</v>
      </c>
      <c r="J35" s="20">
        <v>34</v>
      </c>
      <c r="K35" s="8">
        <f t="shared" si="3"/>
        <v>12.75</v>
      </c>
      <c r="L35" s="9"/>
      <c r="V35" s="16"/>
      <c r="X35" s="18"/>
      <c r="Y35" s="19"/>
      <c r="Z35" s="19"/>
      <c r="AD35" s="16"/>
      <c r="AF35" s="16"/>
    </row>
    <row r="36" spans="1:32">
      <c r="A36" s="13">
        <v>35</v>
      </c>
      <c r="B36" s="14" t="s">
        <v>73</v>
      </c>
      <c r="C36" s="14" t="s">
        <v>74</v>
      </c>
      <c r="D36" s="15">
        <v>26</v>
      </c>
      <c r="E36" s="8">
        <f t="shared" si="0"/>
        <v>13</v>
      </c>
      <c r="F36" s="15">
        <v>10</v>
      </c>
      <c r="G36" s="8">
        <f t="shared" si="1"/>
        <v>10</v>
      </c>
      <c r="H36" s="15">
        <v>26</v>
      </c>
      <c r="I36" s="8">
        <f t="shared" si="4"/>
        <v>13</v>
      </c>
      <c r="J36" s="15">
        <v>24</v>
      </c>
      <c r="K36" s="8">
        <f t="shared" si="3"/>
        <v>9</v>
      </c>
      <c r="L36" s="9"/>
      <c r="N36" s="6" t="s">
        <v>82</v>
      </c>
      <c r="O36" s="6" t="s">
        <v>83</v>
      </c>
      <c r="P36" s="6" t="s">
        <v>84</v>
      </c>
      <c r="Q36" s="6" t="s">
        <v>85</v>
      </c>
      <c r="R36" s="9" t="s">
        <v>90</v>
      </c>
      <c r="S36" s="9" t="s">
        <v>91</v>
      </c>
      <c r="V36" s="16"/>
      <c r="X36" s="18"/>
      <c r="Y36" s="19"/>
      <c r="Z36" s="19"/>
      <c r="AD36" s="16"/>
      <c r="AF36" s="16"/>
    </row>
    <row r="37" spans="1:32">
      <c r="M37" s="9" t="s">
        <v>86</v>
      </c>
      <c r="N37">
        <f>COUNTA(B2:B500)</f>
        <v>35</v>
      </c>
      <c r="O37">
        <f>AVERAGE(E2:E500)</f>
        <v>10.871428571428572</v>
      </c>
      <c r="P37">
        <f>MAX(E2:E500)</f>
        <v>14</v>
      </c>
      <c r="Q37">
        <f>MIN(E2:E500)</f>
        <v>0</v>
      </c>
      <c r="R37" t="str">
        <f>COUNTIF(E2:E500, "&gt;=9") &amp; " students (out of " &amp; COUNTA(B2:B500) &amp; " students)"</f>
        <v>30 students (out of 35 students)</v>
      </c>
      <c r="S37" t="str">
        <f>COUNTIF(E2:E500, "&gt;=7.5") &amp; " students (out of " &amp; COUNTA(B2:B500) &amp; " students)"</f>
        <v>30 students (out of 35 students)</v>
      </c>
      <c r="X37" s="18"/>
      <c r="Y37" s="19"/>
      <c r="Z37" s="19"/>
      <c r="AA37" s="12"/>
      <c r="AB37" s="12"/>
      <c r="AC37" s="12"/>
      <c r="AD37" s="12"/>
    </row>
    <row r="38" spans="1:32">
      <c r="M38" s="9" t="s">
        <v>87</v>
      </c>
      <c r="N38">
        <f>COUNTA(B2:B500)</f>
        <v>35</v>
      </c>
      <c r="O38">
        <f>AVERAGE(G2:G500)</f>
        <v>8.4285714285714288</v>
      </c>
      <c r="P38">
        <f>MAX(G2:G500)</f>
        <v>15</v>
      </c>
      <c r="Q38">
        <f>MIN(G2:G500)</f>
        <v>0</v>
      </c>
      <c r="R38" t="str">
        <f>COUNTIF(G2:G500, "&gt;=9") &amp; " students (out of " &amp; COUNTA(B2:B500) &amp; " students)"</f>
        <v>21 students (out of 35 students)</v>
      </c>
      <c r="S38" t="str">
        <f>COUNTIF(G2:G500, "&gt;=7.5") &amp; " students (out of " &amp; COUNTA(B2:B500) &amp; " students)"</f>
        <v>22 students (out of 35 students)</v>
      </c>
      <c r="X38" s="18"/>
      <c r="Y38" s="19"/>
      <c r="Z38" s="19"/>
      <c r="AA38" s="12"/>
      <c r="AB38" s="21"/>
      <c r="AC38" s="12"/>
      <c r="AD38" s="21"/>
    </row>
    <row r="39" spans="1:32">
      <c r="M39" s="9" t="s">
        <v>88</v>
      </c>
      <c r="N39">
        <f>COUNTA(B2:B500)</f>
        <v>35</v>
      </c>
      <c r="O39">
        <f>AVERAGE(I2:I500)</f>
        <v>10.614285714285714</v>
      </c>
      <c r="P39">
        <f>MAX(I2:I500)</f>
        <v>15</v>
      </c>
      <c r="Q39">
        <f>MIN(I2:I500)</f>
        <v>0</v>
      </c>
      <c r="R39" t="str">
        <f>COUNTIF(I2:I500, "&gt;=9") &amp; " students (out of " &amp; COUNTA(B2:B500) &amp; " students)"</f>
        <v>29 students (out of 35 students)</v>
      </c>
      <c r="S39" t="str">
        <f>COUNTIF(I2:I500, "&gt;=7.5") &amp; " students (out of " &amp; COUNTA(B2:B500) &amp; " students)"</f>
        <v>29 students (out of 35 students)</v>
      </c>
      <c r="X39" s="18"/>
      <c r="Y39" s="19"/>
      <c r="Z39" s="19"/>
    </row>
    <row r="40" spans="1:32">
      <c r="M40" s="9" t="s">
        <v>89</v>
      </c>
      <c r="N40">
        <f>COUNTA(B2:B500)</f>
        <v>35</v>
      </c>
      <c r="O40">
        <f>AVERAGE(K2:K500)</f>
        <v>5.85</v>
      </c>
      <c r="P40">
        <f>MAX(K2:K500)</f>
        <v>14.25</v>
      </c>
      <c r="Q40">
        <f>MIN(K2:K500)</f>
        <v>0</v>
      </c>
      <c r="R40" t="str">
        <f>COUNTIF(K2:K500, "&gt;=9") &amp; " students (out of " &amp; COUNTA(B2:B500) &amp; " students)"</f>
        <v>9 students (out of 35 students)</v>
      </c>
      <c r="S40" t="str">
        <f>COUNTIF(K2:K500, "&gt;=7.5") &amp; " students (out of " &amp; COUNTA(B2:B500) &amp; " students)"</f>
        <v>11 students (out of 35 students)</v>
      </c>
    </row>
    <row r="46" spans="1:32">
      <c r="M46" s="10" t="s">
        <v>92</v>
      </c>
      <c r="N46" s="10" t="s">
        <v>93</v>
      </c>
      <c r="O46" s="10" t="s">
        <v>94</v>
      </c>
      <c r="P46" s="10" t="s">
        <v>95</v>
      </c>
      <c r="Q46" s="10" t="s">
        <v>96</v>
      </c>
      <c r="R46" s="10" t="s">
        <v>97</v>
      </c>
      <c r="T46" s="12"/>
      <c r="U46" s="12"/>
      <c r="V46" s="12"/>
      <c r="W46" s="12"/>
      <c r="X46" s="12"/>
      <c r="Y46" s="12"/>
    </row>
    <row r="47" spans="1:32">
      <c r="M47" s="10" t="s">
        <v>86</v>
      </c>
      <c r="N47" s="10">
        <v>35</v>
      </c>
      <c r="O47" s="10">
        <v>30</v>
      </c>
      <c r="P47" s="11">
        <v>0.8571428571428571</v>
      </c>
      <c r="Q47" s="10">
        <v>5</v>
      </c>
      <c r="R47" s="11">
        <v>0.14285714285714285</v>
      </c>
      <c r="T47" s="12"/>
      <c r="U47" s="12"/>
      <c r="V47" s="12"/>
      <c r="W47" s="21"/>
      <c r="X47" s="12"/>
      <c r="Y47" s="21"/>
    </row>
    <row r="48" spans="1:32">
      <c r="M48" s="14" t="s">
        <v>87</v>
      </c>
      <c r="N48" s="14">
        <v>35</v>
      </c>
      <c r="O48" s="10">
        <v>21</v>
      </c>
      <c r="P48" s="11">
        <v>0.6</v>
      </c>
      <c r="Q48" s="10">
        <v>14</v>
      </c>
      <c r="R48" s="11">
        <v>0.4</v>
      </c>
    </row>
    <row r="49" spans="13:18">
      <c r="M49" s="10" t="s">
        <v>88</v>
      </c>
      <c r="N49" s="10">
        <v>35</v>
      </c>
      <c r="O49" s="10">
        <v>29</v>
      </c>
      <c r="P49" s="11">
        <v>0.82857142857142863</v>
      </c>
      <c r="Q49" s="10">
        <v>6</v>
      </c>
      <c r="R49" s="11">
        <v>0.17142857142857143</v>
      </c>
    </row>
    <row r="50" spans="13:18">
      <c r="M50" s="10" t="s">
        <v>89</v>
      </c>
      <c r="N50" s="10">
        <v>35</v>
      </c>
      <c r="O50" s="10">
        <v>9</v>
      </c>
      <c r="P50" s="11">
        <v>0.25714285714285712</v>
      </c>
      <c r="Q50" s="10">
        <v>26</v>
      </c>
      <c r="R50" s="11">
        <v>0.74285714285714288</v>
      </c>
    </row>
    <row r="52" spans="13:18">
      <c r="M52" s="12"/>
      <c r="N52" s="12"/>
      <c r="O52" s="12"/>
      <c r="P52" s="12"/>
      <c r="Q52" s="12"/>
      <c r="R52" s="12"/>
    </row>
    <row r="55" spans="13:18">
      <c r="M55" t="s">
        <v>92</v>
      </c>
      <c r="N55" t="s">
        <v>98</v>
      </c>
      <c r="O55" t="s">
        <v>99</v>
      </c>
      <c r="P55" t="s">
        <v>100</v>
      </c>
      <c r="Q55" t="s">
        <v>101</v>
      </c>
      <c r="R55" s="12"/>
    </row>
    <row r="56" spans="13:18">
      <c r="M56" t="s">
        <v>86</v>
      </c>
      <c r="N56">
        <f>O47</f>
        <v>30</v>
      </c>
      <c r="O56">
        <f>Q47</f>
        <v>5</v>
      </c>
      <c r="P56">
        <f>(N56/(N56+O56))*100</f>
        <v>85.714285714285708</v>
      </c>
      <c r="Q56">
        <f>(O56/(N56+O56))*100</f>
        <v>14.285714285714285</v>
      </c>
    </row>
    <row r="57" spans="13:18">
      <c r="M57" t="s">
        <v>87</v>
      </c>
      <c r="N57">
        <f>O48</f>
        <v>21</v>
      </c>
      <c r="O57">
        <f>Q48</f>
        <v>14</v>
      </c>
      <c r="P57" s="22">
        <v>0.57140000000000002</v>
      </c>
      <c r="Q57">
        <f t="shared" ref="Q57:Q59" si="5">(O57/(N57+O57))*100</f>
        <v>40</v>
      </c>
    </row>
    <row r="58" spans="13:18">
      <c r="M58" t="s">
        <v>88</v>
      </c>
      <c r="N58">
        <f>O49</f>
        <v>29</v>
      </c>
      <c r="O58">
        <f>Q49</f>
        <v>6</v>
      </c>
      <c r="P58">
        <f t="shared" ref="P58:P59" si="6">(N58/(N58+O58))*100</f>
        <v>82.857142857142861</v>
      </c>
      <c r="Q58">
        <f t="shared" si="5"/>
        <v>17.142857142857142</v>
      </c>
    </row>
    <row r="59" spans="13:18">
      <c r="M59" t="s">
        <v>89</v>
      </c>
      <c r="N59">
        <f>O50</f>
        <v>9</v>
      </c>
      <c r="O59">
        <f>Q50</f>
        <v>26</v>
      </c>
      <c r="P59">
        <f t="shared" si="6"/>
        <v>25.714285714285712</v>
      </c>
      <c r="Q59">
        <f t="shared" si="5"/>
        <v>74.285714285714292</v>
      </c>
    </row>
    <row r="62" spans="13:18">
      <c r="M62" s="12"/>
      <c r="N62" s="12"/>
      <c r="O62" s="12"/>
      <c r="P62" s="12"/>
      <c r="Q62" s="12"/>
      <c r="R62" s="12"/>
    </row>
    <row r="63" spans="13:18">
      <c r="M63" s="12"/>
      <c r="N63" s="12"/>
      <c r="O63" s="12"/>
      <c r="P63" s="21"/>
      <c r="Q63" s="12"/>
      <c r="R63" s="21"/>
    </row>
    <row r="65" spans="13:18">
      <c r="M65" s="12"/>
      <c r="N65" s="12"/>
      <c r="O65" s="12"/>
      <c r="P65" s="12"/>
      <c r="Q65" s="12"/>
      <c r="R65" s="12"/>
    </row>
    <row r="66" spans="13:18">
      <c r="M66" s="12"/>
      <c r="N66" s="12"/>
      <c r="O66" s="12"/>
      <c r="P66" s="21"/>
      <c r="Q66" s="12"/>
      <c r="R66" s="21"/>
    </row>
    <row r="68" spans="13:18">
      <c r="M68" s="12"/>
      <c r="N68" s="12"/>
      <c r="O68" s="12"/>
      <c r="P68" s="12"/>
      <c r="Q68" s="12"/>
      <c r="R68" s="12"/>
    </row>
    <row r="69" spans="13:18">
      <c r="M69" s="12"/>
      <c r="N69" s="12"/>
      <c r="O69" s="12"/>
      <c r="P69" s="21"/>
      <c r="Q69" s="12"/>
      <c r="R69" s="21"/>
    </row>
    <row r="71" spans="13:18">
      <c r="M71" s="12"/>
      <c r="N71" s="12"/>
      <c r="O71" s="12"/>
      <c r="P71" s="12"/>
      <c r="Q71" s="12"/>
      <c r="R71" s="12"/>
    </row>
    <row r="72" spans="13:18">
      <c r="M72" s="12"/>
      <c r="N72" s="12"/>
      <c r="O72" s="12"/>
      <c r="P72" s="21"/>
      <c r="Q72" s="12"/>
      <c r="R72" s="21"/>
    </row>
  </sheetData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A8D7-0466-4EFD-AA19-F1ABAEC2BEA6}">
  <dimension ref="A1:E42"/>
  <sheetViews>
    <sheetView tabSelected="1" workbookViewId="0">
      <selection activeCell="G17" sqref="G17"/>
    </sheetView>
  </sheetViews>
  <sheetFormatPr defaultRowHeight="15.6"/>
  <cols>
    <col min="1" max="1" width="10.796875" customWidth="1"/>
    <col min="2" max="2" width="10" bestFit="1" customWidth="1"/>
    <col min="3" max="3" width="28.59765625" bestFit="1" customWidth="1"/>
    <col min="4" max="4" width="14" bestFit="1" customWidth="1"/>
    <col min="5" max="5" width="16" bestFit="1" customWidth="1"/>
  </cols>
  <sheetData>
    <row r="1" spans="1:5">
      <c r="A1" s="23" t="s">
        <v>0</v>
      </c>
      <c r="B1" s="15" t="s">
        <v>1</v>
      </c>
      <c r="C1" s="15" t="s">
        <v>75</v>
      </c>
      <c r="D1" s="15" t="s">
        <v>117</v>
      </c>
      <c r="E1" s="31" t="s">
        <v>118</v>
      </c>
    </row>
    <row r="2" spans="1:5">
      <c r="A2" s="23">
        <v>1</v>
      </c>
      <c r="B2" s="14" t="s">
        <v>17</v>
      </c>
      <c r="C2" s="14" t="s">
        <v>18</v>
      </c>
      <c r="D2" s="30">
        <v>25</v>
      </c>
      <c r="E2" s="30">
        <v>23</v>
      </c>
    </row>
    <row r="3" spans="1:5">
      <c r="A3" s="23">
        <v>2</v>
      </c>
      <c r="B3" s="14" t="s">
        <v>19</v>
      </c>
      <c r="C3" s="14" t="s">
        <v>20</v>
      </c>
      <c r="D3" s="30">
        <v>23</v>
      </c>
      <c r="E3" s="30">
        <v>27</v>
      </c>
    </row>
    <row r="4" spans="1:5">
      <c r="A4" s="23">
        <v>3</v>
      </c>
      <c r="B4" s="14" t="s">
        <v>102</v>
      </c>
      <c r="C4" s="14" t="s">
        <v>103</v>
      </c>
      <c r="D4" s="30"/>
      <c r="E4" s="30"/>
    </row>
    <row r="5" spans="1:5">
      <c r="A5" s="23">
        <v>4</v>
      </c>
      <c r="B5" s="14" t="s">
        <v>21</v>
      </c>
      <c r="C5" s="14" t="s">
        <v>22</v>
      </c>
      <c r="D5" s="30">
        <v>27</v>
      </c>
      <c r="E5" s="30">
        <v>26</v>
      </c>
    </row>
    <row r="6" spans="1:5">
      <c r="A6" s="23">
        <v>5</v>
      </c>
      <c r="B6" s="14" t="s">
        <v>23</v>
      </c>
      <c r="C6" s="14" t="s">
        <v>24</v>
      </c>
      <c r="D6" s="30">
        <v>26</v>
      </c>
      <c r="E6" s="30">
        <v>22</v>
      </c>
    </row>
    <row r="7" spans="1:5">
      <c r="A7" s="23">
        <v>6</v>
      </c>
      <c r="B7" s="14" t="s">
        <v>25</v>
      </c>
      <c r="C7" s="14" t="s">
        <v>26</v>
      </c>
      <c r="D7" s="30">
        <v>26</v>
      </c>
      <c r="E7" s="30">
        <v>24</v>
      </c>
    </row>
    <row r="8" spans="1:5">
      <c r="A8" s="23">
        <v>7</v>
      </c>
      <c r="B8" s="14" t="s">
        <v>104</v>
      </c>
      <c r="C8" s="14" t="s">
        <v>105</v>
      </c>
      <c r="D8" s="30"/>
      <c r="E8" s="30"/>
    </row>
    <row r="9" spans="1:5">
      <c r="A9" s="23">
        <v>8</v>
      </c>
      <c r="B9" s="14" t="s">
        <v>27</v>
      </c>
      <c r="C9" s="14" t="s">
        <v>28</v>
      </c>
      <c r="D9" s="30">
        <v>25</v>
      </c>
      <c r="E9" s="30">
        <v>27</v>
      </c>
    </row>
    <row r="10" spans="1:5">
      <c r="A10" s="23">
        <v>9</v>
      </c>
      <c r="B10" s="14" t="s">
        <v>29</v>
      </c>
      <c r="C10" s="14" t="s">
        <v>30</v>
      </c>
      <c r="D10" s="30">
        <v>25</v>
      </c>
      <c r="E10" s="30">
        <v>26</v>
      </c>
    </row>
    <row r="11" spans="1:5">
      <c r="A11" s="23">
        <v>10</v>
      </c>
      <c r="B11" s="14" t="s">
        <v>31</v>
      </c>
      <c r="C11" s="14" t="s">
        <v>32</v>
      </c>
      <c r="D11" s="30">
        <v>24</v>
      </c>
      <c r="E11" s="30">
        <v>26</v>
      </c>
    </row>
    <row r="12" spans="1:5">
      <c r="A12" s="23">
        <v>11</v>
      </c>
      <c r="B12" s="14" t="s">
        <v>33</v>
      </c>
      <c r="C12" s="14" t="s">
        <v>34</v>
      </c>
      <c r="D12" s="30">
        <v>25</v>
      </c>
      <c r="E12" s="30">
        <v>25</v>
      </c>
    </row>
    <row r="13" spans="1:5">
      <c r="A13" s="23">
        <v>12</v>
      </c>
      <c r="B13" s="14" t="s">
        <v>35</v>
      </c>
      <c r="C13" s="14" t="s">
        <v>36</v>
      </c>
      <c r="D13" s="30">
        <v>24</v>
      </c>
      <c r="E13" s="30">
        <v>22</v>
      </c>
    </row>
    <row r="14" spans="1:5">
      <c r="A14" s="23">
        <v>13</v>
      </c>
      <c r="B14" s="14" t="s">
        <v>37</v>
      </c>
      <c r="C14" s="14" t="s">
        <v>38</v>
      </c>
      <c r="D14" s="30">
        <v>27</v>
      </c>
      <c r="E14" s="30">
        <v>28</v>
      </c>
    </row>
    <row r="15" spans="1:5">
      <c r="A15" s="23">
        <v>14</v>
      </c>
      <c r="B15" s="14" t="s">
        <v>39</v>
      </c>
      <c r="C15" s="14" t="s">
        <v>40</v>
      </c>
      <c r="D15" s="30">
        <v>25</v>
      </c>
      <c r="E15" s="30">
        <v>25</v>
      </c>
    </row>
    <row r="16" spans="1:5">
      <c r="A16" s="23">
        <v>15</v>
      </c>
      <c r="B16" s="14" t="s">
        <v>106</v>
      </c>
      <c r="C16" s="14" t="s">
        <v>107</v>
      </c>
      <c r="D16" s="30">
        <v>26</v>
      </c>
      <c r="E16" s="30">
        <v>0</v>
      </c>
    </row>
    <row r="17" spans="1:5">
      <c r="A17" s="23">
        <v>16</v>
      </c>
      <c r="B17" s="14" t="s">
        <v>41</v>
      </c>
      <c r="C17" s="14" t="s">
        <v>42</v>
      </c>
      <c r="D17" s="30">
        <v>25</v>
      </c>
      <c r="E17" s="30">
        <v>26</v>
      </c>
    </row>
    <row r="18" spans="1:5">
      <c r="A18" s="23">
        <v>17</v>
      </c>
      <c r="B18" s="14" t="s">
        <v>108</v>
      </c>
      <c r="C18" s="14" t="s">
        <v>109</v>
      </c>
      <c r="D18" s="30"/>
      <c r="E18" s="30"/>
    </row>
    <row r="19" spans="1:5">
      <c r="A19" s="23">
        <v>18</v>
      </c>
      <c r="B19" s="14" t="s">
        <v>43</v>
      </c>
      <c r="C19" s="14" t="s">
        <v>44</v>
      </c>
      <c r="D19" s="30">
        <v>26</v>
      </c>
      <c r="E19" s="30">
        <v>24</v>
      </c>
    </row>
    <row r="20" spans="1:5">
      <c r="A20" s="23">
        <v>19</v>
      </c>
      <c r="B20" s="14" t="s">
        <v>45</v>
      </c>
      <c r="C20" s="14" t="s">
        <v>46</v>
      </c>
      <c r="D20" s="30">
        <v>28</v>
      </c>
      <c r="E20" s="30">
        <v>28</v>
      </c>
    </row>
    <row r="21" spans="1:5">
      <c r="A21" s="23">
        <v>20</v>
      </c>
      <c r="B21" s="14" t="s">
        <v>47</v>
      </c>
      <c r="C21" s="14" t="s">
        <v>48</v>
      </c>
      <c r="D21" s="30">
        <v>24</v>
      </c>
      <c r="E21" s="30">
        <v>26</v>
      </c>
    </row>
    <row r="22" spans="1:5">
      <c r="A22" s="23">
        <v>21</v>
      </c>
      <c r="B22" s="14" t="s">
        <v>49</v>
      </c>
      <c r="C22" s="14" t="s">
        <v>50</v>
      </c>
      <c r="D22" s="30">
        <v>24</v>
      </c>
      <c r="E22" s="30">
        <v>23</v>
      </c>
    </row>
    <row r="23" spans="1:5">
      <c r="A23" s="23">
        <v>22</v>
      </c>
      <c r="B23" s="14" t="s">
        <v>51</v>
      </c>
      <c r="C23" s="14" t="s">
        <v>52</v>
      </c>
      <c r="D23" s="30">
        <v>25</v>
      </c>
      <c r="E23" s="30">
        <v>22</v>
      </c>
    </row>
    <row r="24" spans="1:5">
      <c r="A24" s="23">
        <v>23</v>
      </c>
      <c r="B24" s="14" t="s">
        <v>110</v>
      </c>
      <c r="C24" s="14" t="s">
        <v>111</v>
      </c>
      <c r="D24" s="30"/>
      <c r="E24" s="30"/>
    </row>
    <row r="25" spans="1:5">
      <c r="A25" s="23">
        <v>24</v>
      </c>
      <c r="B25" s="14" t="s">
        <v>53</v>
      </c>
      <c r="C25" s="14" t="s">
        <v>54</v>
      </c>
      <c r="D25" s="30">
        <v>25</v>
      </c>
      <c r="E25" s="30">
        <v>26</v>
      </c>
    </row>
    <row r="26" spans="1:5">
      <c r="A26" s="23">
        <v>25</v>
      </c>
      <c r="B26" s="14" t="s">
        <v>55</v>
      </c>
      <c r="C26" s="14" t="s">
        <v>56</v>
      </c>
      <c r="D26" s="30">
        <v>26</v>
      </c>
      <c r="E26" s="30">
        <v>28</v>
      </c>
    </row>
    <row r="27" spans="1:5">
      <c r="A27" s="23">
        <v>26</v>
      </c>
      <c r="B27" s="14" t="s">
        <v>57</v>
      </c>
      <c r="C27" s="14" t="s">
        <v>58</v>
      </c>
      <c r="D27" s="30">
        <v>25</v>
      </c>
      <c r="E27" s="30">
        <v>26</v>
      </c>
    </row>
    <row r="28" spans="1:5">
      <c r="A28" s="23">
        <v>27</v>
      </c>
      <c r="B28" s="14" t="s">
        <v>59</v>
      </c>
      <c r="C28" s="14" t="s">
        <v>60</v>
      </c>
      <c r="D28" s="30">
        <v>25</v>
      </c>
      <c r="E28" s="30">
        <v>26</v>
      </c>
    </row>
    <row r="29" spans="1:5">
      <c r="A29" s="23">
        <v>28</v>
      </c>
      <c r="B29" s="14" t="s">
        <v>112</v>
      </c>
      <c r="C29" s="14" t="s">
        <v>113</v>
      </c>
      <c r="D29" s="30"/>
      <c r="E29" s="30"/>
    </row>
    <row r="30" spans="1:5">
      <c r="A30" s="23">
        <v>29</v>
      </c>
      <c r="B30" s="14" t="s">
        <v>61</v>
      </c>
      <c r="C30" s="14" t="s">
        <v>62</v>
      </c>
      <c r="D30" s="30">
        <v>27</v>
      </c>
      <c r="E30" s="30">
        <v>24</v>
      </c>
    </row>
    <row r="31" spans="1:5">
      <c r="A31" s="23">
        <v>30</v>
      </c>
      <c r="B31" s="14" t="s">
        <v>63</v>
      </c>
      <c r="C31" s="14" t="s">
        <v>64</v>
      </c>
      <c r="D31" s="30">
        <v>24</v>
      </c>
      <c r="E31" s="30">
        <v>26</v>
      </c>
    </row>
    <row r="32" spans="1:5">
      <c r="A32" s="23">
        <v>31</v>
      </c>
      <c r="B32" s="14" t="s">
        <v>65</v>
      </c>
      <c r="C32" s="14" t="s">
        <v>66</v>
      </c>
      <c r="D32" s="30">
        <v>23</v>
      </c>
      <c r="E32" s="30">
        <v>26</v>
      </c>
    </row>
    <row r="33" spans="1:5">
      <c r="A33" s="23">
        <v>32</v>
      </c>
      <c r="B33" s="14" t="s">
        <v>67</v>
      </c>
      <c r="C33" s="14" t="s">
        <v>68</v>
      </c>
      <c r="D33" s="30">
        <v>27</v>
      </c>
      <c r="E33" s="30">
        <v>26</v>
      </c>
    </row>
    <row r="34" spans="1:5">
      <c r="A34" s="23">
        <v>33</v>
      </c>
      <c r="B34" s="14" t="s">
        <v>69</v>
      </c>
      <c r="C34" s="14" t="s">
        <v>70</v>
      </c>
      <c r="D34" s="30">
        <v>26</v>
      </c>
      <c r="E34" s="30">
        <v>29</v>
      </c>
    </row>
    <row r="35" spans="1:5">
      <c r="A35" s="23">
        <v>34</v>
      </c>
      <c r="B35" s="14" t="s">
        <v>71</v>
      </c>
      <c r="C35" s="14" t="s">
        <v>72</v>
      </c>
      <c r="D35" s="30">
        <v>27</v>
      </c>
      <c r="E35" s="30">
        <v>30</v>
      </c>
    </row>
    <row r="36" spans="1:5">
      <c r="A36" s="23">
        <v>35</v>
      </c>
      <c r="B36" s="14" t="s">
        <v>73</v>
      </c>
      <c r="C36" s="14" t="s">
        <v>74</v>
      </c>
      <c r="D36" s="30">
        <v>26</v>
      </c>
      <c r="E36" s="30">
        <v>26</v>
      </c>
    </row>
    <row r="37" spans="1:5">
      <c r="A37" s="28"/>
      <c r="B37" s="28"/>
      <c r="C37" s="28"/>
      <c r="D37" s="28"/>
    </row>
    <row r="38" spans="1:5">
      <c r="A38" s="28"/>
      <c r="B38" s="28"/>
      <c r="C38" s="28"/>
      <c r="D38" s="28"/>
    </row>
    <row r="39" spans="1:5">
      <c r="A39" s="28"/>
      <c r="B39" s="28"/>
      <c r="C39" s="28"/>
      <c r="D39" s="28"/>
    </row>
    <row r="40" spans="1:5">
      <c r="A40" s="28"/>
      <c r="B40" s="28"/>
      <c r="C40" s="28"/>
      <c r="D40" s="28"/>
    </row>
    <row r="41" spans="1:5">
      <c r="A41" s="28"/>
      <c r="B41" s="28"/>
      <c r="C41" s="28"/>
      <c r="D41" s="28"/>
    </row>
    <row r="42" spans="1:5">
      <c r="A42" s="29"/>
      <c r="B42" s="29"/>
      <c r="C42" s="29"/>
      <c r="D42" s="2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 MARKS BREAKDOWN</vt:lpstr>
      <vt:lpstr>CONVERTER</vt:lpstr>
      <vt:lpstr>OBE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Sazid Uddin</dc:creator>
  <cp:keywords/>
  <dc:description/>
  <cp:lastModifiedBy>SUDIPTA KUMAR DAS</cp:lastModifiedBy>
  <cp:revision/>
  <cp:lastPrinted>2026-08-27T14:36:39Z</cp:lastPrinted>
  <dcterms:created xsi:type="dcterms:W3CDTF">2026-07-27T05:42:00Z</dcterms:created>
  <dcterms:modified xsi:type="dcterms:W3CDTF">2026-08-27T15:20:04Z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855CD9DF02C7485DB9A5909EB130DF51_12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